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AIG_FAVOR" defaultThemeVersion="124226"/>
  <xr:revisionPtr revIDLastSave="0" documentId="13_ncr:1_{2F8321B7-DEFF-43B1-A863-50710B26A308}" xr6:coauthVersionLast="46" xr6:coauthVersionMax="47" xr10:uidLastSave="{00000000-0000-0000-0000-000000000000}"/>
  <bookViews>
    <workbookView xWindow="-120" yWindow="-120" windowWidth="29040" windowHeight="15990" activeTab="7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r:id="rId6"/>
    <sheet name="2.2-FAVPFM Embrittlement" sheetId="8" r:id="rId7"/>
    <sheet name="2.3-FAVPFM Input" sheetId="9" r:id="rId8"/>
    <sheet name="3.1-FAVPost Distributions" sheetId="10" r:id="rId9"/>
    <sheet name="3.2-FAVPost Input" sheetId="11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8" i="7" l="1"/>
  <c r="A55" i="7"/>
  <c r="A54" i="7"/>
  <c r="A53" i="7"/>
  <c r="A52" i="7"/>
  <c r="A49" i="7"/>
  <c r="A48" i="7"/>
  <c r="A47" i="7"/>
  <c r="A44" i="7"/>
  <c r="A43" i="7"/>
  <c r="A42" i="7"/>
  <c r="A39" i="7"/>
  <c r="A38" i="7"/>
  <c r="A35" i="7"/>
  <c r="A33" i="7"/>
  <c r="A32" i="7"/>
  <c r="A31" i="7"/>
  <c r="A30" i="7"/>
  <c r="A29" i="7"/>
  <c r="A28" i="7"/>
  <c r="A27" i="7"/>
  <c r="A26" i="7"/>
  <c r="A25" i="7"/>
  <c r="A24" i="7"/>
  <c r="A22" i="7"/>
  <c r="A21" i="7"/>
  <c r="A20" i="7"/>
  <c r="A19" i="7"/>
  <c r="A18" i="7"/>
  <c r="A14" i="7"/>
  <c r="A13" i="7"/>
  <c r="A12" i="7"/>
  <c r="A11" i="7"/>
  <c r="A10" i="7"/>
  <c r="A9" i="7"/>
  <c r="A17" i="7"/>
  <c r="P11" i="10"/>
  <c r="N11" i="10"/>
  <c r="L11" i="10"/>
  <c r="J11" i="10"/>
  <c r="I10" i="10"/>
  <c r="K10" i="10" s="1"/>
  <c r="M10" i="10" s="1"/>
  <c r="O10" i="10" s="1"/>
  <c r="H11" i="10"/>
  <c r="G10" i="10"/>
  <c r="B3" i="10"/>
  <c r="AD5" i="4"/>
  <c r="AB5" i="4"/>
  <c r="Z5" i="4"/>
  <c r="X5" i="4"/>
  <c r="V5" i="4"/>
  <c r="T5" i="4"/>
  <c r="S4" i="4"/>
  <c r="Y4" i="4" s="1"/>
  <c r="R5" i="4"/>
  <c r="P5" i="4"/>
  <c r="N5" i="4"/>
  <c r="M4" i="4"/>
  <c r="D30" i="7"/>
  <c r="D29" i="7"/>
  <c r="D18" i="7"/>
  <c r="E12" i="1"/>
  <c r="D52" i="7"/>
  <c r="E29" i="1" a="1"/>
  <c r="E19" i="1" a="1"/>
  <c r="E29" i="1" l="1"/>
  <c r="E19" i="1"/>
  <c r="E8" i="7"/>
  <c r="B3" i="7"/>
  <c r="E7" i="7"/>
  <c r="D13" i="7" s="1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23" i="1" a="1"/>
  <c r="E25" i="1" a="1"/>
  <c r="E13" i="1" a="1"/>
  <c r="E15" i="1" a="1"/>
  <c r="E27" i="1" a="1"/>
  <c r="E32" i="1" a="1"/>
  <c r="O3" i="3" a="1"/>
  <c r="E17" i="1" a="1"/>
  <c r="E24" i="1" a="1"/>
  <c r="E40" i="1" a="1"/>
  <c r="E41" i="1" a="1"/>
  <c r="E7" i="1" a="1"/>
  <c r="E9" i="1" a="1"/>
  <c r="E28" i="1" a="1"/>
  <c r="E8" i="1" a="1"/>
  <c r="E14" i="1" a="1"/>
  <c r="E3" i="3" a="1"/>
  <c r="E18" i="1" a="1"/>
  <c r="E16" i="1" a="1"/>
  <c r="E26" i="1" a="1"/>
  <c r="E17" i="7" l="1"/>
  <c r="E55" i="7"/>
  <c r="E30" i="7"/>
  <c r="A23" i="7"/>
  <c r="E23" i="7" s="1"/>
  <c r="E53" i="7"/>
  <c r="E21" i="7"/>
  <c r="E58" i="7"/>
  <c r="E54" i="7"/>
  <c r="E29" i="7"/>
  <c r="E22" i="7"/>
  <c r="E28" i="7"/>
  <c r="E52" i="7"/>
  <c r="E20" i="7"/>
  <c r="E19" i="7"/>
  <c r="E33" i="7"/>
  <c r="A34" i="7"/>
  <c r="E34" i="7" s="1"/>
  <c r="E18" i="7"/>
  <c r="E25" i="7"/>
  <c r="E11" i="7"/>
  <c r="E9" i="7"/>
  <c r="D12" i="7"/>
  <c r="E10" i="7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4" i="4"/>
  <c r="E13" i="7" a="1"/>
  <c r="E48" i="7" a="1"/>
  <c r="E42" i="7" a="1"/>
  <c r="E32" i="7" a="1"/>
  <c r="E12" i="7" a="1"/>
  <c r="E44" i="7" a="1"/>
  <c r="E38" i="7" a="1"/>
  <c r="E27" i="7" a="1"/>
  <c r="E49" i="7" a="1"/>
  <c r="E43" i="7" a="1"/>
  <c r="E35" i="7" a="1"/>
  <c r="E26" i="7" a="1"/>
  <c r="E47" i="7" a="1"/>
  <c r="E39" i="7" a="1"/>
  <c r="E31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<sst xmlns="http://schemas.openxmlformats.org/spreadsheetml/2006/main" count="1174" uniqueCount="528">
  <si>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</si>
  <si>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</si>
  <si>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</si>
  <si>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</si>
  <si>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</si>
  <si>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</si>
  <si>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</si>
  <si>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</si>
  <si>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</si>
  <si>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</si>
  <si>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</si>
  <si>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</si>
  <si>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</si>
  <si>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</si>
  <si>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</si>
  <si>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</si>
  <si>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</si>
  <si>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</si>
  <si>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</si>
  <si>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</si>
  <si>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</si>
  <si>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</si>
  <si>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</si>
  <si>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</si>
  <si>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</si>
  <si>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</si>
  <si>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</si>
  <si>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</si>
  <si>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</si>
  <si>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</si>
  <si>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</si>
  <si>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</si>
  <si>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</si>
  <si>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</si>
  <si>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</si>
  <si>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</si>
  <si>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</si>
  <si>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</si>
  <si>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</si>
  <si>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</si>
  <si>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</si>
  <si>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</si>
  <si>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</si>
  <si>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</si>
  <si>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</si>
  <si>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</si>
  <si>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</si>
  <si>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</si>
  <si>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</si>
  <si>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</si>
  <si>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</si>
  <si>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</si>
  <si>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</si>
  <si>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</si>
  <si>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</si>
  <si>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</si>
  <si>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</si>
  <si>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</si>
  <si>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</si>
  <si>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</si>
  <si>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</si>
  <si>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</si>
  <si>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</si>
  <si>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</si>
  <si>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</si>
  <si>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</si>
  <si>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</si>
  <si>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</si>
  <si>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</si>
  <si>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</si>
  <si>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</si>
  <si>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</si>
  <si>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</si>
  <si>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</si>
  <si>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</si>
  <si>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</si>
  <si>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</si>
  <si>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</si>
  <si>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</si>
  <si>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</si>
  <si>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</si>
  <si>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</si>
  <si>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</si>
  <si>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</si>
  <si>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</si>
  <si>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</si>
  <si>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</si>
  <si>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</si>
  <si>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</si>
  <si>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</si>
  <si>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</si>
  <si>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</si>
  <si>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</si>
  <si>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</si>
  <si>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</si>
  <si>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</si>
  <si>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</si>
  <si>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</si>
  <si>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</si>
  <si>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</si>
  <si>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</si>
  <si>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</si>
  <si>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</si>
  <si>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</si>
  <si>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</si>
  <si>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</si>
  <si>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</si>
  <si>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</si>
  <si>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</si>
  <si>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</si>
  <si>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</si>
  <si>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</si>
  <si>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</si>
  <si>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</si>
  <si>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</si>
  <si>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</si>
  <si>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</si>
  <si>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</si>
  <si>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</si>
  <si>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</si>
  <si>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</si>
  <si>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</si>
  <si>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</si>
  <si>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</si>
  <si>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</si>
  <si>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</si>
  <si>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</si>
  <si>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</si>
  <si>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</si>
  <si>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</si>
  <si>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</si>
  <si>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</si>
  <si>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</si>
  <si>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</si>
  <si>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</si>
  <si>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</si>
  <si>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</si>
  <si>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</si>
  <si>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</si>
  <si>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</si>
  <si>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</si>
  <si>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</si>
  <si>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</si>
  <si>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</si>
  <si>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</si>
  <si>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</si>
  <si>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</si>
  <si>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</si>
  <si>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</si>
  <si>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</si>
  <si>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</si>
  <si>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</si>
  <si>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</si>
  <si>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</si>
  <si>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</si>
  <si>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</si>
  <si>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</si>
  <si>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</si>
  <si>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</si>
  <si>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</si>
  <si>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</si>
  <si>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</si>
  <si>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</si>
  <si>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</si>
  <si>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</si>
  <si>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</si>
  <si>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</si>
  <si>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</si>
  <si>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</si>
  <si>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</si>
  <si>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</si>
  <si>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</si>
  <si>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</si>
  <si>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</si>
  <si>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</si>
  <si>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</si>
  <si>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</si>
  <si>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</si>
  <si>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</si>
  <si>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</si>
  <si>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</si>
  <si>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</si>
  <si>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</si>
  <si>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</si>
  <si>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</si>
  <si>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</si>
  <si>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</si>
  <si>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</si>
  <si>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</si>
  <si>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</si>
  <si>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</si>
  <si>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</si>
  <si>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</si>
  <si>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</si>
  <si>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</si>
  <si>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</si>
  <si>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</si>
  <si>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</si>
  <si>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</si>
  <si>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</si>
  <si>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</si>
  <si>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</si>
  <si>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</si>
  <si>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KIa model based on CCA + large specimen data</t>
  </si>
  <si>
    <t>LOAD_case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</si>
  <si>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</si>
  <si>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</si>
  <si>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</si>
  <si>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</si>
  <si>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</si>
  <si>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</si>
  <si>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  "wall thickness" : "6.125 in",</t>
  </si>
  <si>
    <t xml:space="preserve">  "material properties" : {</t>
  </si>
  <si>
    <t xml:space="preserve">    },</t>
  </si>
  <si>
    <t xml:space="preserve">"temperature dependent" : </t>
  </si>
  <si>
    <t xml:space="preserve">      "temperature dependent" : false,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</si>
  <si>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</si>
  <si>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</si>
  <si>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</si>
  <si>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</si>
  <si>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</si>
  <si>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</si>
  <si>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</si>
  <si>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</si>
  <si>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</si>
  <si>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"thermal expansion coefficient" : "0.00000777 1/F",</t>
  </si>
  <si>
    <t xml:space="preserve">      "reference temperature" : "70.0 F",</t>
  </si>
  <si>
    <t xml:space="preserve">      "thermal conductivity" : "24.0 BTU/(hr ft F)",</t>
  </si>
  <si>
    <t xml:space="preserve">      "density" : "489.0 lbm/ft^3",</t>
  </si>
  <si>
    <t xml:space="preserve">      "young's elastic modulus" : "28000.0 ksi",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</si>
  <si>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</si>
  <si>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</si>
  <si>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</si>
  <si>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</si>
  <si>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</si>
  <si>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</si>
  <si>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</si>
  <si>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</si>
  <si>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</si>
  <si>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</si>
  <si>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</si>
  <si>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</si>
  <si>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</si>
  <si>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"temperature dependent" : true,</t>
  </si>
  <si>
    <t xml:space="preserve">      "thermal conductivity table" : {</t>
  </si>
  <si>
    <t xml:space="preserve">        "T" : [</t>
  </si>
  <si>
    <t xml:space="preserve">        ],</t>
  </si>
  <si>
    <t xml:space="preserve">          800.0, 0.0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</si>
  <si>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</si>
  <si>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</si>
  <si>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</si>
  <si>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    800.0</t>
  </si>
  <si>
    <t xml:space="preserve">        "k(T)" : [</t>
  </si>
  <si>
    <t xml:space="preserve">          8.1, 8.4, 8.6, 8.8, 9.1, </t>
  </si>
  <si>
    <t xml:space="preserve">          9.4, 9.6, 9.9, 10.1, 10.4, </t>
  </si>
  <si>
    <t xml:space="preserve">          10.6, 10.9, 11.1, 11.4, 11.6, </t>
  </si>
  <si>
    <t xml:space="preserve">          11.9</t>
  </si>
  <si>
    <t xml:space="preserve">      },</t>
  </si>
  <si>
    <t xml:space="preserve">        "T units" : "F"</t>
  </si>
  <si>
    <t xml:space="preserve">        "k(T) units" : "BTU/(hr ft F)"</t>
  </si>
  <si>
    <t xml:space="preserve">      "specific heat table" : {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</si>
  <si>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</si>
  <si>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</si>
  <si>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</si>
  <si>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</si>
  <si>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</si>
  <si>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        0.1367, 0.0</t>
  </si>
  <si>
    <t xml:space="preserve">      "young's elastic modulus table" : {</t>
  </si>
  <si>
    <t xml:space="preserve">          68.0, 302.0, 482.0</t>
  </si>
  <si>
    <t xml:space="preserve">        "E(T)" : [</t>
  </si>
  <si>
    <t xml:space="preserve">          22045.7, 20160.2, 18419.8</t>
  </si>
  <si>
    <t xml:space="preserve">        "E(T) units" : "ksi"</t>
  </si>
  <si>
    <t xml:space="preserve">      "thermal expansion coefficient table" : {</t>
  </si>
  <si>
    <t xml:space="preserve">          100.0, 150.0, 200.0, 250.0, 300.0, </t>
  </si>
  <si>
    <t xml:space="preserve">          350.0, 400.0, 450.0, 500.0, 550.0, </t>
  </si>
  <si>
    <t xml:space="preserve">          600.0, 650.0, 700.0, 750.0, 800.0</t>
  </si>
  <si>
    <t xml:space="preserve">        "alpha(T)" : [</t>
  </si>
  <si>
    <t xml:space="preserve">          0.00000855, 0.00000867, 0.00000879, 0.0000089, 0.000009, </t>
  </si>
  <si>
    <t xml:space="preserve">          0.0000091, 0.00000919, 0.00000928, 0.00000937, 0.00000945, </t>
  </si>
  <si>
    <t xml:space="preserve">          0.00000953, 0.00000961, 0.00000969, 0.00000976, 0.00000982</t>
  </si>
  <si>
    <t xml:space="preserve">        "alpha(T) units" : "1/F"</t>
  </si>
  <si>
    <t xml:space="preserve">      "poisson's ratio table" : {</t>
  </si>
  <si>
    <t xml:space="preserve">          0.0, 1000.0</t>
  </si>
  <si>
    <t xml:space="preserve">        "nu(T)" : [</t>
  </si>
  <si>
    <t xml:space="preserve">          0.3, 0.3</t>
  </si>
  <si>
    <t xml:space="preserve">  "analysis options" : {</t>
  </si>
  <si>
    <t xml:space="preserve">    "stress-free temperature" : "544.8 F",</t>
  </si>
  <si>
    <t xml:space="preserve">    "crack-face pressure loading" : false,</t>
  </si>
  <si>
    <t xml:space="preserve">    "axial residual stresses in weld" : true,</t>
  </si>
  <si>
    <t xml:space="preserve">    "circumferential residual stresses in weld" : true</t>
  </si>
  <si>
    <t xml:space="preserve">    }</t>
  </si>
  <si>
    <t xml:space="preserve">  "transients" : {</t>
  </si>
  <si>
    <t xml:space="preserve">    "total time" : "250.0 m",</t>
  </si>
  <si>
    <t xml:space="preserve">    "dt" : "1.0 m",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</si>
  <si>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</si>
  <si>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</si>
  <si>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</si>
  <si>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</si>
  <si>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</si>
  <si>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</si>
  <si>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</si>
  <si>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</si>
  <si>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      0.0, 1.0, 2.0, 3.0, 4.0, </t>
  </si>
  <si>
    <t xml:space="preserve">            5.0, 6.0, 7.0</t>
  </si>
  <si>
    <t xml:space="preserve">            100.0, 120.0, 140.0, 160.0, 180.0, </t>
  </si>
  <si>
    <t xml:space="preserve">            160.0, 140.0, 120.0</t>
  </si>
  <si>
    <t xml:space="preserve">        "T units" : "F",</t>
  </si>
  <si>
    <t xml:space="preserve">      }</t>
  </si>
  <si>
    <t xml:space="preserve">          "T(t)" : [</t>
  </si>
  <si>
    <t xml:space="preserve">            550.0, 550.0, 500.0, 450.0, 400.0, </t>
  </si>
  <si>
    <t xml:space="preserve">            350.0, 300.0, 250.0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</si>
  <si>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</si>
  <si>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</si>
  <si>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</si>
  <si>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  2.1, 2.1, 2.0, 1.9, 1.8, </t>
  </si>
  <si>
    <t xml:space="preserve">            1.7, 1.6, 1.5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</si>
  <si>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</si>
  <si>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</si>
  <si>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</si>
  <si>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</si>
  <si>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</si>
  <si>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</si>
  <si>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</si>
  <si>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"internal radius" : "126.4 in",</t>
  </si>
  <si>
    <t xml:space="preserve">    "clad thckness" :"0.25 in"</t>
  </si>
  <si>
    <t xml:space="preserve">      "poisson's ratio" : 0.3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</si>
  <si>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</si>
  <si>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</si>
  <si>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</si>
  <si>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</si>
  <si>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</si>
  <si>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</si>
  <si>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</si>
  <si>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</si>
  <si>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</si>
  <si>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</si>
  <si>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"pfm transient number" : 2,</t>
  </si>
  <si>
    <t xml:space="preserve">        "pfm transient number" : 3,</t>
  </si>
  <si>
    <t xml:space="preserve">          "t units" : "m",</t>
  </si>
  <si>
    <t xml:space="preserve">        "thermal-hydraulic sequence number" : ,</t>
  </si>
  <si>
    <t xml:space="preserve">          "initial coolant temperature" : "",</t>
  </si>
  <si>
    <t xml:space="preserve">          "lowest transient temperature" : "",</t>
  </si>
  <si>
    <t xml:space="preserve">          "decay constant" : ""</t>
  </si>
  <si>
    <t>ID and OD Surface + Embedded Throughout Thickness</t>
  </si>
  <si>
    <t>off</t>
  </si>
  <si>
    <t>ksi in^1/2</t>
  </si>
  <si>
    <t>Time history</t>
  </si>
  <si>
    <t>Axial</t>
  </si>
  <si>
    <t>ft lb</t>
  </si>
  <si>
    <t>dK/dt&gt;0 and KI&gt;KImax (default)</t>
  </si>
  <si>
    <t>PLATE</t>
  </si>
  <si>
    <t xml:space="preserve">  "subregions" : [</t>
  </si>
  <si>
    <t xml:space="preserve">      "id" : 1,</t>
  </si>
  <si>
    <t xml:space="preserve">      "Mn" : 1.0,</t>
  </si>
  <si>
    <t xml:space="preserve">      "rtndt0" : "-30.0 F",</t>
  </si>
  <si>
    <t xml:space="preserve">      "angle" : "360.0 deg",</t>
  </si>
  <si>
    <t xml:space="preserve">      "orientation" : 0,</t>
  </si>
  <si>
    <t>embedded</t>
  </si>
  <si>
    <t xml:space="preserve">      "Cu" : 0.213,</t>
  </si>
  <si>
    <t xml:space="preserve">      "Ni" : 1.01,</t>
  </si>
  <si>
    <t xml:space="preserve">      "P" : 0.019,</t>
  </si>
  <si>
    <t xml:space="preserve">      "orientation" : 1,</t>
  </si>
  <si>
    <t xml:space="preserve">      "id" : 2,</t>
  </si>
  <si>
    <t xml:space="preserve">      "id" : 3,</t>
  </si>
  <si>
    <t xml:space="preserve">      "id" : 4,</t>
  </si>
  <si>
    <t xml:space="preserve">      "id" : 5,</t>
  </si>
  <si>
    <t xml:space="preserve">      "id" : 6,</t>
  </si>
  <si>
    <t xml:space="preserve">      "id" : 7,</t>
  </si>
  <si>
    <t xml:space="preserve">      "Cu" : 0.203,</t>
  </si>
  <si>
    <t xml:space="preserve">      "Ni" : 1.018,</t>
  </si>
  <si>
    <t xml:space="preserve">      "P" : 0.013,</t>
  </si>
  <si>
    <t xml:space="preserve">      "orientation" : 2,</t>
  </si>
  <si>
    <t xml:space="preserve">      "id" : 8,</t>
  </si>
  <si>
    <t xml:space="preserve">      "id" : 9,</t>
  </si>
  <si>
    <t xml:space="preserve">      "id" : 10,</t>
  </si>
  <si>
    <t xml:space="preserve">      "id" : 11,</t>
  </si>
  <si>
    <t xml:space="preserve">      "id" : 12,</t>
  </si>
  <si>
    <t xml:space="preserve">      "id" : 13,</t>
  </si>
  <si>
    <t xml:space="preserve">      "Cu" : 0.24,</t>
  </si>
  <si>
    <t xml:space="preserve">      "Ni" : 0.51,</t>
  </si>
  <si>
    <t xml:space="preserve">      "P" : 0.009,</t>
  </si>
  <si>
    <t xml:space="preserve">      "Ni" : 0.52,</t>
  </si>
  <si>
    <t xml:space="preserve">      "P" : 0.01,</t>
  </si>
  <si>
    <t xml:space="preserve">      "Ni" : 0.5,</t>
  </si>
  <si>
    <t xml:space="preserve">      "P" : 0.011,</t>
  </si>
  <si>
    <t xml:space="preserve">      "Cu" : 0.19,</t>
  </si>
  <si>
    <t xml:space="preserve">      "Ni" : 0.48,</t>
  </si>
  <si>
    <t xml:space="preserve">      "P" : 0.016,</t>
  </si>
  <si>
    <t xml:space="preserve">      "rtndt0" : "0.0 F",</t>
  </si>
  <si>
    <t xml:space="preserve">      "P" : 0.015,</t>
  </si>
  <si>
    <t xml:space="preserve">      "Cu" : 0.12,</t>
  </si>
  <si>
    <t xml:space="preserve">      "Ni" : 0.55,</t>
  </si>
  <si>
    <t xml:space="preserve">    "resampling" : true,</t>
  </si>
  <si>
    <t>PFM_test_ver_15</t>
  </si>
  <si>
    <t>Eason 2000</t>
  </si>
  <si>
    <t xml:space="preserve">    "restart" : -250,</t>
  </si>
  <si>
    <t xml:space="preserve">      "fluence" : 2.9625,</t>
  </si>
  <si>
    <t xml:space="preserve">      "rtndt0" : "-56.0 F",</t>
  </si>
  <si>
    <t xml:space="preserve">      "angle" : "0.958 deg",</t>
  </si>
  <si>
    <t xml:space="preserve">      "height" : "60.71 in",</t>
  </si>
  <si>
    <t xml:space="preserve">      "fluence" : 3.8089,</t>
  </si>
  <si>
    <t xml:space="preserve">      "fluence" : 3.8554,</t>
  </si>
  <si>
    <t xml:space="preserve">      "angle" : "1.158 deg",</t>
  </si>
  <si>
    <t xml:space="preserve">      "height" : "93.98 in",</t>
  </si>
  <si>
    <t xml:space="preserve">      "fluence" : 2.9892,</t>
  </si>
  <si>
    <t xml:space="preserve">      "fluence" : 4.8502,</t>
  </si>
  <si>
    <t xml:space="preserve">      "height" : "1.31 in",</t>
  </si>
  <si>
    <t xml:space="preserve">      "fluence" : 4.8456,</t>
  </si>
  <si>
    <t xml:space="preserve">      "angle" : "119.0 deg",</t>
  </si>
  <si>
    <t xml:space="preserve">      "rtndt0" : "-25.0 F",</t>
  </si>
  <si>
    <t xml:space="preserve">      "fluence" : 4.9015,</t>
  </si>
  <si>
    <t xml:space="preserve">      "rtndt0" : "-5.0 F",</t>
  </si>
  <si>
    <t xml:space="preserve">      "angle" : "118.8 deg",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</si>
  <si>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</si>
  <si>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</si>
  <si>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</si>
  <si>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</si>
  <si>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</si>
  <si>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</si>
  <si>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</si>
  <si>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</si>
  <si>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</si>
  <si>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</si>
  <si>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</si>
  <si>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</si>
  <si>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</si>
  <si>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</si>
  <si>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</si>
  <si>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</si>
  <si>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</si>
  <si>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</si>
  <si>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</si>
  <si>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</si>
  <si>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</si>
  <si>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</si>
  <si>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</si>
  <si>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</si>
  <si>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</si>
  <si>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</si>
  <si>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</si>
  <si>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</si>
  <si>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</si>
  <si>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C:\Users\patri\OneDrive\Documents\GitHub\FAVPRO\tests\verification\FAVPOSTin\POST_test_ver_2.in</t>
  </si>
  <si>
    <t>POST_test_ver_2</t>
  </si>
  <si>
    <t xml:space="preserve">        "coolant temperature history table" : {</t>
  </si>
  <si>
    <t xml:space="preserve">    "rpv simulations" : 100,</t>
  </si>
  <si>
    <t xml:space="preserve">    "flaw population" : 3,</t>
  </si>
  <si>
    <t xml:space="preserve">    "initiation growth arrest trials" : 100,</t>
  </si>
  <si>
    <t xml:space="preserve">    "warm prestress" : 1,</t>
  </si>
  <si>
    <t xml:space="preserve">    "category-3 flaw analysis" : true,</t>
  </si>
  <si>
    <t xml:space="preserve">    "child subregion reports" : false,</t>
  </si>
  <si>
    <t xml:space="preserve">    "embrittlement model" : 2000,</t>
  </si>
  <si>
    <t xml:space="preserve">    "normal coolant temperature" : "525.0 F",</t>
  </si>
  <si>
    <t xml:space="preserve">    "plant operating time" : 60.0,</t>
  </si>
  <si>
    <t xml:space="preserve">    "ductile tearing model" : false,</t>
  </si>
  <si>
    <t xml:space="preserve">    "ductile tearing checks" : false,</t>
  </si>
  <si>
    <t xml:space="preserve">    "detailed reports" : true,</t>
  </si>
  <si>
    <t xml:space="preserve">    "flow stress" : "80.0 ksi",</t>
  </si>
  <si>
    <t xml:space="preserve">    "max K" : 200.0,</t>
  </si>
  <si>
    <t xml:space="preserve">    "arrest model" : 2,</t>
  </si>
  <si>
    <t xml:space="preserve">    "vessel failure normalized crack depth" : 0.9,</t>
  </si>
  <si>
    <t xml:space="preserve">    "stdev mean local fluence" : 0.118,</t>
  </si>
  <si>
    <t xml:space="preserve">    "stdev local fluence" : 0.056,</t>
  </si>
  <si>
    <t xml:space="preserve">    "stdev Cu weld" : 0.167,</t>
  </si>
  <si>
    <t xml:space="preserve">    "stdev Ni weld" : 0.162,</t>
  </si>
  <si>
    <t xml:space="preserve">    "stdev P weld" : 0.0013,</t>
  </si>
  <si>
    <t xml:space="preserve">    "stdev Cu plate" : 0.0073,</t>
  </si>
  <si>
    <t xml:space="preserve">    "stdev Ni plate" : 0.0244,</t>
  </si>
  <si>
    <t xml:space="preserve">    "stdev P plate" : 0.0013</t>
  </si>
  <si>
    <t xml:space="preserve">    "transient number" : 3,</t>
  </si>
  <si>
    <t xml:space="preserve">    "simulation number" : 10,</t>
  </si>
  <si>
    <t xml:space="preserve">    "flaw number" : 200</t>
  </si>
  <si>
    <t xml:space="preserve">  "probabilistic simulation" : {</t>
  </si>
  <si>
    <t xml:space="preserve">  "flaw tracking" : {</t>
  </si>
  <si>
    <t xml:space="preserve">      "left child" : 8,</t>
  </si>
  <si>
    <t xml:space="preserve">      "right child" : 9,</t>
  </si>
  <si>
    <t xml:space="preserve">      "major region" : 1,</t>
  </si>
  <si>
    <t xml:space="preserve">      "DT30 shift" : 1,</t>
  </si>
  <si>
    <t xml:space="preserve">      "Cu sat" : 1,</t>
  </si>
  <si>
    <t xml:space="preserve">      "sig rtndt0" : "17.0 F",</t>
  </si>
  <si>
    <t xml:space="preserve">      "irad shift" : 11,</t>
  </si>
  <si>
    <t xml:space="preserve">      "fusion area" : "516.0 in^2",</t>
  </si>
  <si>
    <t xml:space="preserve">      "CF override" : 0.0,</t>
  </si>
  <si>
    <t xml:space="preserve">      "upper shelf energy" : "0.0 ft lb"</t>
  </si>
  <si>
    <t xml:space="preserve">      "left child" : 9,</t>
  </si>
  <si>
    <t xml:space="preserve">      "right child" : 10,</t>
  </si>
  <si>
    <t xml:space="preserve">      "major region" : 2,</t>
  </si>
  <si>
    <t xml:space="preserve">      "left child" : 10,</t>
  </si>
  <si>
    <t xml:space="preserve">      "right child" : 8,</t>
  </si>
  <si>
    <t xml:space="preserve">      "major region" : 3,</t>
  </si>
  <si>
    <t xml:space="preserve">      "left child" : 11,</t>
  </si>
  <si>
    <t xml:space="preserve">      "right child" : 12,</t>
  </si>
  <si>
    <t xml:space="preserve">      "major region" : 4,</t>
  </si>
  <si>
    <t xml:space="preserve">      "fusion area" : "799.0 in^2",</t>
  </si>
  <si>
    <t xml:space="preserve">      "left child" : 12,</t>
  </si>
  <si>
    <t xml:space="preserve">      "right child" : 13,</t>
  </si>
  <si>
    <t xml:space="preserve">      "major region" : 5,</t>
  </si>
  <si>
    <t xml:space="preserve">      "left child" : 13,</t>
  </si>
  <si>
    <t xml:space="preserve">      "right child" : 11,</t>
  </si>
  <si>
    <t xml:space="preserve">      "major region" : 6,</t>
  </si>
  <si>
    <t xml:space="preserve">      "major region" : 7,</t>
  </si>
  <si>
    <t xml:space="preserve">      "DT30 shift" : 2,</t>
  </si>
  <si>
    <t xml:space="preserve">      "Cu sat" : 2,</t>
  </si>
  <si>
    <t xml:space="preserve">      "fusion area" : "4833.0 in^2",</t>
  </si>
  <si>
    <t xml:space="preserve">      "major region" : 8,</t>
  </si>
  <si>
    <t xml:space="preserve">      "DT30 shift" : 0,</t>
  </si>
  <si>
    <t xml:space="preserve">      "Cu sat" : 0,</t>
  </si>
  <si>
    <t xml:space="preserve">      "irad shift" : 21,</t>
  </si>
  <si>
    <t xml:space="preserve">      "fusion area" : "0.0 in^2",</t>
  </si>
  <si>
    <t xml:space="preserve">      "major region" : 9,</t>
  </si>
  <si>
    <t xml:space="preserve">      "major region" : 10,</t>
  </si>
  <si>
    <t xml:space="preserve">      "major region" : 11,</t>
  </si>
  <si>
    <t xml:space="preserve">      "major region" : 12,</t>
  </si>
  <si>
    <t xml:space="preserve">      "major region" : 13,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</si>
  <si>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</si>
  <si>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</si>
  <si>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</si>
  <si>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</si>
  <si>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</si>
  <si>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</si>
  <si>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</si>
  <si>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>Yes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</si>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</sst>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3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442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521</v>
      </c>
      <c r="C10" s="132"/>
    </row>
    <row r="11" spans="1:3" x14ac:dyDescent="0.25">
      <c r="A11" s="106" t="s">
        <v>19</v>
      </c>
      <c r="B11" s="107" t="s">
        <v>521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7" t="s">
        <v>108</v>
      </c>
      <c r="B18" s="207"/>
      <c r="C18" s="207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2" t="s">
        <v>30</v>
      </c>
      <c r="B21" s="212"/>
      <c r="C21" s="212"/>
    </row>
    <row r="22" spans="1:3" x14ac:dyDescent="0.25">
      <c r="A22" s="211" t="s">
        <v>32</v>
      </c>
      <c r="B22" s="211"/>
      <c r="C22" s="211"/>
    </row>
    <row r="23" spans="1:3" x14ac:dyDescent="0.25">
      <c r="A23" s="210" t="s">
        <v>31</v>
      </c>
      <c r="B23" s="210"/>
      <c r="C23" s="210"/>
    </row>
    <row r="24" spans="1:3" x14ac:dyDescent="0.25">
      <c r="A24" s="209" t="s">
        <v>192</v>
      </c>
      <c r="B24" s="209"/>
      <c r="C24" s="209"/>
    </row>
    <row r="25" spans="1:3" x14ac:dyDescent="0.25">
      <c r="A25" s="208" t="s">
        <v>52</v>
      </c>
      <c r="B25" s="208"/>
      <c r="C25" s="208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topLeftCell="A19"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204</v>
      </c>
    </row>
    <row r="3" spans="1:5" x14ac:dyDescent="0.25">
      <c r="A3" s="1" t="s">
        <v>56</v>
      </c>
      <c r="B3" s="154" t="str">
        <f>FAVLoadCase&amp;".json"</f>
        <v>LOAD_case.json</v>
      </c>
    </row>
    <row r="4" spans="1:5" x14ac:dyDescent="0.25">
      <c r="A4" s="1" t="s">
        <v>57</v>
      </c>
      <c r="B4" s="154" t="str">
        <f>FAVLoadCase&amp;".out"</f>
        <v>LOAD_case.out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207</v>
      </c>
      <c r="B7" s="196">
        <v>126.4</v>
      </c>
      <c r="C7" s="23" t="s">
        <v>33</v>
      </c>
      <c r="E7" s="159" t="str" cm="1">
        <f t="array" ref="E7">A7&amp;"""" &amp;real(B7)&amp;" "&amp;C7&amp;""""</f>
        <v>"internal radius" : "126.4 in"</v>
      </c>
    </row>
    <row r="8" spans="1:5" x14ac:dyDescent="0.25">
      <c r="A8" s="1" t="s">
        <v>206</v>
      </c>
      <c r="B8" s="196">
        <v>6.125</v>
      </c>
      <c r="C8" s="23" t="s">
        <v>33</v>
      </c>
      <c r="E8" s="159" t="str" cm="1">
        <f t="array" ref="E8">A8&amp;"""" &amp;real(B8)&amp;" "&amp;C8&amp;""""</f>
        <v>"wall thickness" : "6.125 in"</v>
      </c>
    </row>
    <row r="9" spans="1:5" x14ac:dyDescent="0.25">
      <c r="A9" s="1" t="s">
        <v>208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214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239</v>
      </c>
      <c r="B13" s="197">
        <v>70</v>
      </c>
      <c r="C13" s="5" t="s">
        <v>222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242</v>
      </c>
      <c r="B14" s="196">
        <v>489</v>
      </c>
      <c r="C14" s="23" t="s">
        <v>220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218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219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221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214</v>
      </c>
      <c r="B22" s="4" t="s">
        <v>54</v>
      </c>
      <c r="C22" s="135"/>
      <c r="D22" s="3" t="str">
        <f>IF($B$22="yes","Start here then fill out '1.2-FAVLoad Materials' Tab","Complete This Section")</f>
        <v>Start here then fill out '1.2-FAVLoad Materials' Tab</v>
      </c>
      <c r="E22" s="128" t="str">
        <f>A22&amp;IF(B22="no","false","true")</f>
        <v>"temperature dependent" : true</v>
      </c>
    </row>
    <row r="23" spans="1:5" x14ac:dyDescent="0.25">
      <c r="A23" s="1" t="s">
        <v>239</v>
      </c>
      <c r="B23" s="197">
        <v>70</v>
      </c>
      <c r="C23" s="5" t="s">
        <v>222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242</v>
      </c>
      <c r="B24" s="196">
        <v>489</v>
      </c>
      <c r="C24" s="23" t="s">
        <v>220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/>
      </c>
      <c r="B25" s="196">
        <v>10</v>
      </c>
      <c r="C25" s="23" t="s">
        <v>218</v>
      </c>
      <c r="E25" s="159" t="str" cm="1">
        <f t="array" ref="E25">A25&amp;"""" &amp;real(B25)&amp;" "&amp;C25&amp;""""</f>
        <v>"10.0 BTU/(hr ft F)"</v>
      </c>
    </row>
    <row r="26" spans="1:5" x14ac:dyDescent="0.25">
      <c r="A26" s="1" t="str">
        <f>IF($B$22="yes","",CHAR(34)&amp;"specific heat"&amp;CHAR(34)&amp;" : ")</f>
        <v/>
      </c>
      <c r="B26" s="196">
        <v>0.12</v>
      </c>
      <c r="C26" s="23" t="s">
        <v>219</v>
      </c>
      <c r="E26" s="159" t="str" cm="1">
        <f t="array" ref="E26">A26&amp;"""" &amp;real(B26)&amp;" "&amp;C26&amp;""""</f>
        <v>"0.12 BTU/(lbm F)"</v>
      </c>
    </row>
    <row r="27" spans="1:5" x14ac:dyDescent="0.25">
      <c r="A27" s="1" t="str">
        <f>IF($B$22="yes","",CHAR(34)&amp;"young's elastic modulus"&amp;CHAR(34)&amp;" : ")</f>
        <v/>
      </c>
      <c r="B27" s="196">
        <v>22800</v>
      </c>
      <c r="C27" s="23" t="s">
        <v>24</v>
      </c>
      <c r="E27" s="159" t="str" cm="1">
        <f t="array" ref="E27">A27&amp;"""" &amp;real(B27)&amp;" "&amp;C27&amp;""""</f>
        <v>"22800.0 ksi"</v>
      </c>
    </row>
    <row r="28" spans="1:5" x14ac:dyDescent="0.25">
      <c r="A28" s="1" t="str">
        <f>IF($B$22="yes","",CHAR(34)&amp;"thermal expansion coefficient"&amp;CHAR(34)&amp;" : ")</f>
        <v/>
      </c>
      <c r="B28" s="196">
        <v>9.4499999999999993E-6</v>
      </c>
      <c r="C28" s="5" t="s">
        <v>221</v>
      </c>
      <c r="E28" s="159" t="str" cm="1">
        <f t="array" ref="E28">A28&amp;"""" &amp;real(B28)&amp;" "&amp;C28&amp;""""</f>
        <v>"0.00000945 1/F"</v>
      </c>
    </row>
    <row r="29" spans="1:5" x14ac:dyDescent="0.25">
      <c r="A29" s="1" t="str">
        <f>IF($B$22="yes","",CHAR(34)&amp;"poisson's ratio"&amp;CHAR(34)&amp;" : ")</f>
        <v/>
      </c>
      <c r="B29" s="196">
        <v>0.3</v>
      </c>
      <c r="E29" s="159" t="str" cm="1">
        <f t="array" ref="E29">A29&amp;real(B29)</f>
        <v>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232</v>
      </c>
      <c r="B32" s="198">
        <v>544.79999999999995</v>
      </c>
      <c r="C32" s="5" t="s">
        <v>222</v>
      </c>
      <c r="E32" s="159" t="str" cm="1">
        <f t="array" ref="E32">A32&amp;"""" &amp;real(B32)&amp;" "&amp;C32&amp;""""</f>
        <v>"stress-free temperature" : "544.8 F"</v>
      </c>
    </row>
    <row r="33" spans="1:5" x14ac:dyDescent="0.25">
      <c r="A33" s="1" t="s">
        <v>235</v>
      </c>
      <c r="B33" s="4" t="s">
        <v>1</v>
      </c>
      <c r="E33" s="128" t="str">
        <f>A33&amp;IF(B33="no","false","true")</f>
        <v>"crack-face pressure loading" : false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233</v>
      </c>
      <c r="B36" s="4" t="s">
        <v>54</v>
      </c>
      <c r="E36" s="128" t="str">
        <f>A36&amp;IF(B36="no","false","true")</f>
        <v>"axial residual stresses in weld" : true</v>
      </c>
    </row>
    <row r="37" spans="1:5" x14ac:dyDescent="0.25">
      <c r="A37" s="1" t="s">
        <v>234</v>
      </c>
      <c r="B37" s="4" t="s">
        <v>54</v>
      </c>
      <c r="E37" s="128" t="str">
        <f>A37&amp;IF(B37="no","false","true")</f>
        <v>"circumferential residual stresses in weld" : true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236</v>
      </c>
      <c r="B40" s="22">
        <v>250</v>
      </c>
      <c r="C40" s="23" t="s">
        <v>238</v>
      </c>
      <c r="E40" s="159" t="str" cm="1">
        <f t="array" ref="E40">A40&amp;"""" &amp;real(B40)&amp;" "&amp;C40&amp;""""</f>
        <v>"total time" : "250.0 m"</v>
      </c>
    </row>
    <row r="41" spans="1:5" x14ac:dyDescent="0.25">
      <c r="A41" s="1" t="s">
        <v>237</v>
      </c>
      <c r="B41" s="22">
        <v>1</v>
      </c>
      <c r="C41" s="23" t="s">
        <v>238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3</v>
      </c>
      <c r="D44" s="19" t="s">
        <v>23</v>
      </c>
      <c r="E44" s="20">
        <f>B44</f>
        <v>3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224</v>
      </c>
    </row>
    <row r="51" spans="5:5" hidden="1" x14ac:dyDescent="0.25">
      <c r="E51" s="20" t="s">
        <v>228</v>
      </c>
    </row>
    <row r="52" spans="5:5" hidden="1" x14ac:dyDescent="0.25">
      <c r="E52" s="20" t="s">
        <v>230</v>
      </c>
    </row>
    <row r="53" spans="5:5" hidden="1" x14ac:dyDescent="0.25">
      <c r="E53" s="20" t="s">
        <v>231</v>
      </c>
    </row>
    <row r="54" spans="5:5" hidden="1" x14ac:dyDescent="0.25">
      <c r="E54" s="20" t="s">
        <v>216</v>
      </c>
    </row>
    <row r="55" spans="5:5" hidden="1" x14ac:dyDescent="0.25">
      <c r="E55" s="20" t="s">
        <v>213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3" t="s">
        <v>10</v>
      </c>
      <c r="B1" s="214"/>
      <c r="C1" s="214"/>
      <c r="D1" s="214"/>
      <c r="E1" s="214"/>
      <c r="F1" s="214"/>
      <c r="G1" s="214"/>
      <c r="H1" s="214"/>
      <c r="I1" s="214"/>
      <c r="J1" s="215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6" t="str">
        <f>"Base Metal"&amp;IF('1.1-FAVLoad Parameters'!$B$12="no"," - Do not fill this out"," - Fill this out")</f>
        <v>Base Metal - Do not fill this out</v>
      </c>
      <c r="B2" s="217"/>
      <c r="C2" s="217"/>
      <c r="D2" s="217"/>
      <c r="E2" s="217"/>
      <c r="F2" s="217"/>
      <c r="G2" s="217"/>
      <c r="H2" s="217"/>
      <c r="I2" s="217"/>
      <c r="J2" s="218"/>
      <c r="K2" s="216" t="str">
        <f>"Cladding"&amp;IF('1.1-FAVLoad Parameters'!$B$22="no"," - Do not fill this out"," - Fill this out")</f>
        <v>Cladding - Fill this out</v>
      </c>
      <c r="L2" s="217"/>
      <c r="M2" s="217"/>
      <c r="N2" s="217"/>
      <c r="O2" s="217"/>
      <c r="P2" s="217"/>
      <c r="Q2" s="217"/>
      <c r="R2" s="217"/>
      <c r="S2" s="217"/>
      <c r="T2" s="218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222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239</v>
      </c>
      <c r="L3" s="28"/>
      <c r="M3" s="45">
        <v>70</v>
      </c>
      <c r="N3" s="8" t="s">
        <v>222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19" t="s">
        <v>34</v>
      </c>
      <c r="B4" s="220"/>
      <c r="C4" s="220"/>
      <c r="D4" s="220"/>
      <c r="E4" s="220"/>
      <c r="F4" s="220"/>
      <c r="G4" s="220"/>
      <c r="H4" s="220"/>
      <c r="I4" s="220"/>
      <c r="J4" s="221"/>
      <c r="K4" s="219" t="s">
        <v>34</v>
      </c>
      <c r="L4" s="220"/>
      <c r="M4" s="220"/>
      <c r="N4" s="220"/>
      <c r="O4" s="222"/>
      <c r="P4" s="222"/>
      <c r="Q4" s="222"/>
      <c r="R4" s="222"/>
      <c r="S4" s="222"/>
      <c r="T4" s="221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222</v>
      </c>
      <c r="B7" s="46" t="s">
        <v>218</v>
      </c>
      <c r="C7" s="7" t="s">
        <v>222</v>
      </c>
      <c r="D7" s="7" t="s">
        <v>219</v>
      </c>
      <c r="E7" s="7" t="s">
        <v>222</v>
      </c>
      <c r="F7" s="7" t="s">
        <v>24</v>
      </c>
      <c r="G7" s="7" t="s">
        <v>222</v>
      </c>
      <c r="H7" s="7" t="s">
        <v>221</v>
      </c>
      <c r="I7" s="7" t="s">
        <v>222</v>
      </c>
      <c r="J7" s="47"/>
      <c r="K7" s="6" t="s">
        <v>222</v>
      </c>
      <c r="L7" s="7" t="s">
        <v>218</v>
      </c>
      <c r="M7" s="7" t="s">
        <v>222</v>
      </c>
      <c r="N7" s="7" t="s">
        <v>219</v>
      </c>
      <c r="O7" s="7" t="s">
        <v>222</v>
      </c>
      <c r="P7" s="7" t="s">
        <v>24</v>
      </c>
      <c r="Q7" s="7" t="s">
        <v>222</v>
      </c>
      <c r="R7" s="7" t="s">
        <v>221</v>
      </c>
      <c r="S7" s="7" t="s">
        <v>222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248</v>
      </c>
    </row>
    <row r="45" spans="14:14" x14ac:dyDescent="0.25">
      <c r="N45" s="163" t="s">
        <v>249</v>
      </c>
    </row>
    <row r="46" spans="14:14" x14ac:dyDescent="0.25">
      <c r="N46" s="163" t="s">
        <v>250</v>
      </c>
    </row>
    <row r="47" spans="14:14" x14ac:dyDescent="0.25">
      <c r="N47" s="163">
        <v>800</v>
      </c>
    </row>
    <row r="48" spans="14:14" x14ac:dyDescent="0.25">
      <c r="N48" s="163" t="s">
        <v>246</v>
      </c>
    </row>
    <row r="49" spans="14:14" x14ac:dyDescent="0.25">
      <c r="N49" s="163" t="s">
        <v>261</v>
      </c>
    </row>
    <row r="50" spans="14:14" x14ac:dyDescent="0.25">
      <c r="N50" s="163" t="s">
        <v>262</v>
      </c>
    </row>
    <row r="51" spans="14:14" x14ac:dyDescent="0.25">
      <c r="N51" s="163" t="s">
        <v>263</v>
      </c>
    </row>
    <row r="52" spans="14:14" x14ac:dyDescent="0.25">
      <c r="N52" s="163" t="s">
        <v>264</v>
      </c>
    </row>
    <row r="53" spans="14:14" x14ac:dyDescent="0.25">
      <c r="N53" s="163">
        <v>0.13669999999999999</v>
      </c>
    </row>
    <row r="54" spans="14:14" x14ac:dyDescent="0.25">
      <c r="N54" s="163" t="s">
        <v>246</v>
      </c>
    </row>
    <row r="55" spans="14:14" x14ac:dyDescent="0.25">
      <c r="N55" s="163" t="s">
        <v>258</v>
      </c>
    </row>
    <row r="56" spans="14:14" x14ac:dyDescent="0.25">
      <c r="N56" s="163" t="s">
        <v>265</v>
      </c>
    </row>
    <row r="57" spans="14:14" x14ac:dyDescent="0.25">
      <c r="N57" s="163" t="s">
        <v>257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AE15"/>
  <sheetViews>
    <sheetView workbookViewId="0"/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13.5703125" style="171" customWidth="1"/>
    <col min="20" max="23" width="13.5703125" style="172" customWidth="1"/>
    <col min="24" max="24" width="13.5703125" style="173" customWidth="1"/>
    <col min="25" max="25" width="13.5703125" style="171" customWidth="1"/>
    <col min="26" max="29" width="13.5703125" style="172" customWidth="1"/>
    <col min="30" max="30" width="13.5703125" style="173" customWidth="1"/>
    <col min="31" max="31" width="9.140625" style="80" customWidth="1"/>
    <col min="32" max="16384" width="9.140625" style="80" hidden="1"/>
  </cols>
  <sheetData>
    <row r="1" spans="1:30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s="15" customFormat="1" ht="15.75" thickBot="1" x14ac:dyDescent="0.3">
      <c r="A3" s="50" t="s">
        <v>51</v>
      </c>
      <c r="B3" s="58"/>
      <c r="C3" s="16"/>
      <c r="D3" s="16"/>
      <c r="E3" s="16"/>
    </row>
    <row r="4" spans="1:30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  <c r="S4" s="62" t="str">
        <f>IF(LEFT(M4,7)="FAVLoad","FAVLoad Transient #"&amp;VALUE(RIGHT(M4,LEN(M4)-FIND("#",M4)))+1,"FAVLoad Transient #1")</f>
        <v>FAVLoad Transient #3</v>
      </c>
      <c r="T4" s="63"/>
      <c r="U4" s="63"/>
      <c r="V4" s="63"/>
      <c r="W4" s="63"/>
      <c r="X4" s="64"/>
      <c r="Y4" s="62" t="str">
        <f>IF(LEFT(S4,7)="FAVLoad","FAVLoad Transient #"&amp;VALUE(RIGHT(S4,LEN(S4)-FIND("#",S4)))+1,"FAVLoad Transient #1")</f>
        <v>FAVLoad Transient #4</v>
      </c>
      <c r="Z4" s="63"/>
      <c r="AA4" s="63"/>
      <c r="AB4" s="63"/>
      <c r="AC4" s="63"/>
      <c r="AD4" s="64"/>
    </row>
    <row r="5" spans="1:30" s="77" customFormat="1" ht="15.75" thickBot="1" x14ac:dyDescent="0.3">
      <c r="A5" s="51"/>
      <c r="B5" s="51"/>
      <c r="C5" s="11" t="s">
        <v>222</v>
      </c>
      <c r="D5" s="12" t="s">
        <v>222</v>
      </c>
      <c r="E5" s="78" t="s">
        <v>48</v>
      </c>
      <c r="F5" s="2"/>
      <c r="G5" s="73" t="s">
        <v>45</v>
      </c>
      <c r="H5" s="74">
        <f>INT(COUNT(G8:H1048576)/2)</f>
        <v>8</v>
      </c>
      <c r="I5" s="75" t="s">
        <v>46</v>
      </c>
      <c r="J5" s="74">
        <f>INT(COUNT(I8:J1048576)/2)</f>
        <v>8</v>
      </c>
      <c r="K5" s="75" t="s">
        <v>47</v>
      </c>
      <c r="L5" s="76">
        <f>INT(COUNT(K8:L1048576)/2)</f>
        <v>8</v>
      </c>
      <c r="M5" s="73" t="s">
        <v>45</v>
      </c>
      <c r="N5" s="74">
        <f>INT(COUNT(M8:N1048576)/2)</f>
        <v>8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8</v>
      </c>
      <c r="S5" s="73" t="s">
        <v>45</v>
      </c>
      <c r="T5" s="74">
        <f>INT(COUNT(S8:T1048576)/2)</f>
        <v>8</v>
      </c>
      <c r="U5" s="75" t="s">
        <v>46</v>
      </c>
      <c r="V5" s="74">
        <f>INT(COUNT(U8:V1048576)/2)</f>
        <v>8</v>
      </c>
      <c r="W5" s="75" t="s">
        <v>47</v>
      </c>
      <c r="X5" s="76">
        <f>INT(COUNT(W8:X1048576)/2)</f>
        <v>8</v>
      </c>
      <c r="Y5" s="73" t="s">
        <v>45</v>
      </c>
      <c r="Z5" s="74">
        <f>INT(COUNT(Y8:Z1048576)/2)</f>
        <v>0</v>
      </c>
      <c r="AA5" s="75" t="s">
        <v>46</v>
      </c>
      <c r="AB5" s="74">
        <f>INT(COUNT(AA8:AB1048576)/2)</f>
        <v>0</v>
      </c>
      <c r="AC5" s="75" t="s">
        <v>47</v>
      </c>
      <c r="AD5" s="76">
        <f>INT(COUNT(AC8:AD1048576)/2)</f>
        <v>0</v>
      </c>
    </row>
    <row r="6" spans="1:30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  <c r="S6" s="70" t="s">
        <v>6</v>
      </c>
      <c r="T6" s="71" t="s">
        <v>22</v>
      </c>
      <c r="U6" s="71" t="s">
        <v>6</v>
      </c>
      <c r="V6" s="71" t="s">
        <v>25</v>
      </c>
      <c r="W6" s="71" t="s">
        <v>6</v>
      </c>
      <c r="X6" s="72" t="s">
        <v>26</v>
      </c>
      <c r="Y6" s="70" t="s">
        <v>6</v>
      </c>
      <c r="Z6" s="71" t="s">
        <v>22</v>
      </c>
      <c r="AA6" s="71" t="s">
        <v>6</v>
      </c>
      <c r="AB6" s="71" t="s">
        <v>25</v>
      </c>
      <c r="AC6" s="71" t="s">
        <v>6</v>
      </c>
      <c r="AD6" s="72" t="s">
        <v>26</v>
      </c>
    </row>
    <row r="7" spans="1:30" ht="15.75" thickBot="1" x14ac:dyDescent="0.3">
      <c r="A7" s="53">
        <v>1</v>
      </c>
      <c r="G7" s="81" t="s">
        <v>238</v>
      </c>
      <c r="H7" s="82" t="s">
        <v>223</v>
      </c>
      <c r="I7" s="82" t="s">
        <v>238</v>
      </c>
      <c r="J7" s="9" t="s">
        <v>222</v>
      </c>
      <c r="K7" s="82" t="s">
        <v>238</v>
      </c>
      <c r="L7" s="10" t="s">
        <v>24</v>
      </c>
      <c r="M7" s="81" t="s">
        <v>238</v>
      </c>
      <c r="N7" s="82" t="s">
        <v>223</v>
      </c>
      <c r="O7" s="82" t="s">
        <v>238</v>
      </c>
      <c r="P7" s="9" t="s">
        <v>222</v>
      </c>
      <c r="Q7" s="82" t="s">
        <v>238</v>
      </c>
      <c r="R7" s="10" t="s">
        <v>24</v>
      </c>
      <c r="S7" s="81" t="s">
        <v>238</v>
      </c>
      <c r="T7" s="82" t="s">
        <v>223</v>
      </c>
      <c r="U7" s="82" t="s">
        <v>238</v>
      </c>
      <c r="V7" s="9" t="s">
        <v>222</v>
      </c>
      <c r="W7" s="82" t="s">
        <v>238</v>
      </c>
      <c r="X7" s="10" t="s">
        <v>24</v>
      </c>
      <c r="Y7" s="81" t="s">
        <v>238</v>
      </c>
      <c r="Z7" s="82" t="s">
        <v>223</v>
      </c>
      <c r="AA7" s="82" t="s">
        <v>238</v>
      </c>
      <c r="AB7" s="9" t="s">
        <v>222</v>
      </c>
      <c r="AC7" s="82" t="s">
        <v>238</v>
      </c>
      <c r="AD7" s="10" t="s">
        <v>24</v>
      </c>
    </row>
    <row r="8" spans="1:30" x14ac:dyDescent="0.25">
      <c r="A8" s="53">
        <v>2</v>
      </c>
      <c r="G8" s="171">
        <v>0</v>
      </c>
      <c r="H8" s="172">
        <v>100</v>
      </c>
      <c r="I8" s="172">
        <v>0</v>
      </c>
      <c r="J8" s="172">
        <v>550</v>
      </c>
      <c r="K8" s="172">
        <v>0</v>
      </c>
      <c r="L8" s="173">
        <v>2.1</v>
      </c>
      <c r="M8" s="171">
        <v>0</v>
      </c>
      <c r="N8" s="172">
        <v>100</v>
      </c>
      <c r="Q8" s="172">
        <v>0</v>
      </c>
      <c r="R8" s="173">
        <v>2.1</v>
      </c>
      <c r="S8" s="171">
        <v>0</v>
      </c>
      <c r="T8" s="172">
        <v>100</v>
      </c>
      <c r="U8" s="172">
        <v>0</v>
      </c>
      <c r="V8" s="172">
        <v>550</v>
      </c>
      <c r="W8" s="172">
        <v>0</v>
      </c>
      <c r="X8" s="173">
        <v>2.1</v>
      </c>
    </row>
    <row r="9" spans="1:30" x14ac:dyDescent="0.25">
      <c r="A9" s="53">
        <v>3</v>
      </c>
      <c r="G9" s="171">
        <v>1</v>
      </c>
      <c r="H9" s="172">
        <v>120</v>
      </c>
      <c r="I9" s="172">
        <v>1</v>
      </c>
      <c r="J9" s="172">
        <v>550</v>
      </c>
      <c r="K9" s="172">
        <v>1</v>
      </c>
      <c r="L9" s="173">
        <v>2.1</v>
      </c>
      <c r="M9" s="171">
        <v>1</v>
      </c>
      <c r="N9" s="172">
        <v>120</v>
      </c>
      <c r="Q9" s="172">
        <v>1</v>
      </c>
      <c r="R9" s="173">
        <v>2.1</v>
      </c>
      <c r="S9" s="171">
        <v>1</v>
      </c>
      <c r="T9" s="172">
        <v>120</v>
      </c>
      <c r="U9" s="172">
        <v>1</v>
      </c>
      <c r="V9" s="172">
        <v>550</v>
      </c>
      <c r="W9" s="172">
        <v>1</v>
      </c>
      <c r="X9" s="173">
        <v>2.1</v>
      </c>
    </row>
    <row r="10" spans="1:30" x14ac:dyDescent="0.25">
      <c r="A10" s="53">
        <v>4</v>
      </c>
      <c r="G10" s="171">
        <v>2</v>
      </c>
      <c r="H10" s="172">
        <v>140</v>
      </c>
      <c r="I10" s="172">
        <v>2</v>
      </c>
      <c r="J10" s="172">
        <v>500</v>
      </c>
      <c r="K10" s="172">
        <v>2</v>
      </c>
      <c r="L10" s="173">
        <v>2</v>
      </c>
      <c r="M10" s="171">
        <v>2</v>
      </c>
      <c r="N10" s="172">
        <v>140</v>
      </c>
      <c r="Q10" s="172">
        <v>2</v>
      </c>
      <c r="R10" s="173">
        <v>2</v>
      </c>
      <c r="S10" s="171">
        <v>2</v>
      </c>
      <c r="T10" s="172">
        <v>140</v>
      </c>
      <c r="U10" s="172">
        <v>2</v>
      </c>
      <c r="V10" s="172">
        <v>500</v>
      </c>
      <c r="W10" s="172">
        <v>2</v>
      </c>
      <c r="X10" s="173">
        <v>2</v>
      </c>
    </row>
    <row r="11" spans="1:30" x14ac:dyDescent="0.25">
      <c r="G11" s="171">
        <v>3</v>
      </c>
      <c r="H11" s="172">
        <v>160</v>
      </c>
      <c r="I11" s="172">
        <v>3</v>
      </c>
      <c r="J11" s="172">
        <v>450</v>
      </c>
      <c r="K11" s="172">
        <v>3</v>
      </c>
      <c r="L11" s="173">
        <v>1.9</v>
      </c>
      <c r="M11" s="171">
        <v>3</v>
      </c>
      <c r="N11" s="172">
        <v>160</v>
      </c>
      <c r="Q11" s="172">
        <v>3</v>
      </c>
      <c r="R11" s="173">
        <v>1.9</v>
      </c>
      <c r="S11" s="171">
        <v>3</v>
      </c>
      <c r="T11" s="172">
        <v>160</v>
      </c>
      <c r="U11" s="172">
        <v>3</v>
      </c>
      <c r="V11" s="172">
        <v>450</v>
      </c>
      <c r="W11" s="172">
        <v>3</v>
      </c>
      <c r="X11" s="173">
        <v>1.9</v>
      </c>
    </row>
    <row r="12" spans="1:30" x14ac:dyDescent="0.25">
      <c r="G12" s="171">
        <v>4</v>
      </c>
      <c r="H12" s="172">
        <v>180</v>
      </c>
      <c r="I12" s="172">
        <v>4</v>
      </c>
      <c r="J12" s="172">
        <v>400</v>
      </c>
      <c r="K12" s="172">
        <v>4</v>
      </c>
      <c r="L12" s="173">
        <v>1.8</v>
      </c>
      <c r="M12" s="171">
        <v>4</v>
      </c>
      <c r="N12" s="172">
        <v>180</v>
      </c>
      <c r="Q12" s="172">
        <v>4</v>
      </c>
      <c r="R12" s="173">
        <v>1.8</v>
      </c>
      <c r="S12" s="171">
        <v>4</v>
      </c>
      <c r="T12" s="172">
        <v>180</v>
      </c>
      <c r="U12" s="172">
        <v>4</v>
      </c>
      <c r="V12" s="172">
        <v>400</v>
      </c>
      <c r="W12" s="172">
        <v>4</v>
      </c>
      <c r="X12" s="173">
        <v>1.8</v>
      </c>
    </row>
    <row r="13" spans="1:30" x14ac:dyDescent="0.25">
      <c r="G13" s="171">
        <v>5</v>
      </c>
      <c r="H13" s="172">
        <v>160</v>
      </c>
      <c r="I13" s="172">
        <v>5</v>
      </c>
      <c r="J13" s="172">
        <v>350</v>
      </c>
      <c r="K13" s="172">
        <v>5</v>
      </c>
      <c r="L13" s="173">
        <v>1.7</v>
      </c>
      <c r="M13" s="171">
        <v>5</v>
      </c>
      <c r="N13" s="172">
        <v>160</v>
      </c>
      <c r="Q13" s="172">
        <v>5</v>
      </c>
      <c r="R13" s="173">
        <v>1.7</v>
      </c>
      <c r="S13" s="171">
        <v>5</v>
      </c>
      <c r="T13" s="172">
        <v>160</v>
      </c>
      <c r="U13" s="172">
        <v>5</v>
      </c>
      <c r="V13" s="172">
        <v>350</v>
      </c>
      <c r="W13" s="172">
        <v>5</v>
      </c>
      <c r="X13" s="173">
        <v>1.7</v>
      </c>
    </row>
    <row r="14" spans="1:30" x14ac:dyDescent="0.25">
      <c r="G14" s="171">
        <v>6</v>
      </c>
      <c r="H14" s="172">
        <v>140</v>
      </c>
      <c r="I14" s="172">
        <v>6</v>
      </c>
      <c r="J14" s="172">
        <v>300</v>
      </c>
      <c r="K14" s="172">
        <v>6</v>
      </c>
      <c r="L14" s="173">
        <v>1.6</v>
      </c>
      <c r="M14" s="171">
        <v>6</v>
      </c>
      <c r="N14" s="172">
        <v>140</v>
      </c>
      <c r="Q14" s="172">
        <v>6</v>
      </c>
      <c r="R14" s="173">
        <v>1.6</v>
      </c>
      <c r="S14" s="171">
        <v>6</v>
      </c>
      <c r="T14" s="172">
        <v>140</v>
      </c>
      <c r="U14" s="172">
        <v>6</v>
      </c>
      <c r="V14" s="172">
        <v>300</v>
      </c>
      <c r="W14" s="172">
        <v>6</v>
      </c>
      <c r="X14" s="173">
        <v>1.6</v>
      </c>
    </row>
    <row r="15" spans="1:30" x14ac:dyDescent="0.25">
      <c r="G15" s="171">
        <v>7</v>
      </c>
      <c r="H15" s="172">
        <v>120</v>
      </c>
      <c r="I15" s="172">
        <v>7</v>
      </c>
      <c r="J15" s="172">
        <v>250</v>
      </c>
      <c r="K15" s="172">
        <v>7</v>
      </c>
      <c r="L15" s="173">
        <v>1.5</v>
      </c>
      <c r="M15" s="171">
        <v>7</v>
      </c>
      <c r="N15" s="172">
        <v>120</v>
      </c>
      <c r="Q15" s="172">
        <v>7</v>
      </c>
      <c r="R15" s="173">
        <v>1.5</v>
      </c>
      <c r="S15" s="171">
        <v>7</v>
      </c>
      <c r="T15" s="172">
        <v>120</v>
      </c>
      <c r="U15" s="172">
        <v>7</v>
      </c>
      <c r="V15" s="172">
        <v>250</v>
      </c>
      <c r="W15" s="172">
        <v>7</v>
      </c>
      <c r="X15" s="173">
        <v>1.5</v>
      </c>
    </row>
  </sheetData>
  <sheetProtection sheet="1" objects="1" scenarios="1"/>
  <dataValidations count="4">
    <dataValidation type="list" allowBlank="1" showInputMessage="1" showErrorMessage="1" sqref="H7 N7 T7 Z7" xr:uid="{00000000-0002-0000-0300-000003000000}">
      <formula1>"W/(m^2 K),BTU/(hr ft^2 F),BTU/(hr ft^2 R)"</formula1>
    </dataValidation>
    <dataValidation type="list" allowBlank="1" showInputMessage="1" showErrorMessage="1" sqref="J7 C5:D5 P7 V7 AB7" xr:uid="{9808259A-AB32-4BD6-AFD8-C3DF48185202}">
      <formula1>"C,K,F,R"</formula1>
    </dataValidation>
    <dataValidation type="list" allowBlank="1" showInputMessage="1" showErrorMessage="1" sqref="L7 R7 X7 AD7" xr:uid="{0ECB4E5E-F5A4-4154-A87D-ACBB56F102D9}">
      <formula1>"atm,bar,dyn/cm^2,Pa,kPa,MPa,kp/cm^2,psi,ksi"</formula1>
    </dataValidation>
    <dataValidation type="list" allowBlank="1" showInputMessage="1" showErrorMessage="1" sqref="G7 I7 K7 M7 O7 Q7 S7 U7 W7 Y7 AA7 AC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213"/>
  <sheetViews>
    <sheetView zoomScaleNormal="100" workbookViewId="0">
      <pane ySplit="7" topLeftCell="A122" activePane="bottomLeft" state="frozen"/>
      <selection pane="bottomLeft" activeCell="A116" sqref="A116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209</v>
      </c>
    </row>
    <row r="2" spans="1:1" x14ac:dyDescent="0.25">
      <c r="A2" s="205" t="s">
        <v>210</v>
      </c>
    </row>
    <row r="3" spans="1:1" x14ac:dyDescent="0.25">
      <c r="A3" s="205" t="s">
        <v>323</v>
      </c>
    </row>
    <row r="4" spans="1:1" x14ac:dyDescent="0.25">
      <c r="A4" s="205" t="s">
        <v>211</v>
      </c>
    </row>
    <row r="5" spans="1:1" x14ac:dyDescent="0.25">
      <c r="A5" s="205" t="s">
        <v>324</v>
      </c>
    </row>
    <row r="6" spans="1:1" x14ac:dyDescent="0.25">
      <c r="A6" s="205" t="s">
        <v>217</v>
      </c>
    </row>
    <row r="7" spans="1:1" x14ac:dyDescent="0.25">
      <c r="A7" s="205" t="s">
        <v>212</v>
      </c>
    </row>
    <row r="8" spans="1:1" x14ac:dyDescent="0.25">
      <c r="A8" s="205" t="s">
        <v>240</v>
      </c>
    </row>
    <row r="9" spans="1:1" x14ac:dyDescent="0.25">
      <c r="A9" s="205" t="s">
        <v>215</v>
      </c>
    </row>
    <row r="10" spans="1:1" x14ac:dyDescent="0.25">
      <c r="A10" s="205" t="s">
        <v>226</v>
      </c>
    </row>
    <row r="11" spans="1:1" x14ac:dyDescent="0.25">
      <c r="A11" s="205" t="s">
        <v>228</v>
      </c>
    </row>
    <row r="12" spans="1:1" x14ac:dyDescent="0.25">
      <c r="A12" s="205" t="s">
        <v>227</v>
      </c>
    </row>
    <row r="13" spans="1:1" x14ac:dyDescent="0.25">
      <c r="A13" s="205" t="s">
        <v>224</v>
      </c>
    </row>
    <row r="14" spans="1:1" x14ac:dyDescent="0.25">
      <c r="A14" s="205" t="s">
        <v>229</v>
      </c>
    </row>
    <row r="15" spans="1:1" x14ac:dyDescent="0.25">
      <c r="A15" s="205" t="s">
        <v>225</v>
      </c>
    </row>
    <row r="16" spans="1:1" x14ac:dyDescent="0.25">
      <c r="A16" s="205" t="s">
        <v>325</v>
      </c>
    </row>
    <row r="17" spans="1:1" x14ac:dyDescent="0.25">
      <c r="A17" s="205" t="s">
        <v>213</v>
      </c>
    </row>
    <row r="18" spans="1:1" x14ac:dyDescent="0.25">
      <c r="A18" s="205" t="s">
        <v>241</v>
      </c>
    </row>
    <row r="19" spans="1:1" x14ac:dyDescent="0.25">
      <c r="A19" s="205" t="s">
        <v>243</v>
      </c>
    </row>
    <row r="20" spans="1:1" x14ac:dyDescent="0.25">
      <c r="A20" s="205" t="s">
        <v>226</v>
      </c>
    </row>
    <row r="21" spans="1:1" x14ac:dyDescent="0.25">
      <c r="A21" s="205" t="s">
        <v>228</v>
      </c>
    </row>
    <row r="22" spans="1:1" x14ac:dyDescent="0.25">
      <c r="A22" s="205" t="s">
        <v>244</v>
      </c>
    </row>
    <row r="23" spans="1:1" x14ac:dyDescent="0.25">
      <c r="A23" s="205" t="s">
        <v>245</v>
      </c>
    </row>
    <row r="24" spans="1:1" x14ac:dyDescent="0.25">
      <c r="A24" s="205" t="s">
        <v>248</v>
      </c>
    </row>
    <row r="25" spans="1:1" x14ac:dyDescent="0.25">
      <c r="A25" s="205" t="s">
        <v>249</v>
      </c>
    </row>
    <row r="26" spans="1:1" x14ac:dyDescent="0.25">
      <c r="A26" s="205" t="s">
        <v>250</v>
      </c>
    </row>
    <row r="27" spans="1:1" x14ac:dyDescent="0.25">
      <c r="A27" s="205" t="s">
        <v>251</v>
      </c>
    </row>
    <row r="28" spans="1:1" x14ac:dyDescent="0.25">
      <c r="A28" s="205" t="s">
        <v>246</v>
      </c>
    </row>
    <row r="29" spans="1:1" x14ac:dyDescent="0.25">
      <c r="A29" s="205" t="s">
        <v>252</v>
      </c>
    </row>
    <row r="30" spans="1:1" x14ac:dyDescent="0.25">
      <c r="A30" s="205" t="s">
        <v>253</v>
      </c>
    </row>
    <row r="31" spans="1:1" x14ac:dyDescent="0.25">
      <c r="A31" s="205" t="s">
        <v>254</v>
      </c>
    </row>
    <row r="32" spans="1:1" x14ac:dyDescent="0.25">
      <c r="A32" s="205" t="s">
        <v>255</v>
      </c>
    </row>
    <row r="33" spans="1:1" x14ac:dyDescent="0.25">
      <c r="A33" s="205" t="s">
        <v>256</v>
      </c>
    </row>
    <row r="34" spans="1:1" x14ac:dyDescent="0.25">
      <c r="A34" s="205" t="s">
        <v>246</v>
      </c>
    </row>
    <row r="35" spans="1:1" x14ac:dyDescent="0.25">
      <c r="A35" s="205" t="s">
        <v>306</v>
      </c>
    </row>
    <row r="36" spans="1:1" x14ac:dyDescent="0.25">
      <c r="A36" s="205" t="s">
        <v>259</v>
      </c>
    </row>
    <row r="37" spans="1:1" x14ac:dyDescent="0.25">
      <c r="A37" s="205" t="s">
        <v>257</v>
      </c>
    </row>
    <row r="38" spans="1:1" x14ac:dyDescent="0.25">
      <c r="A38" s="205" t="s">
        <v>260</v>
      </c>
    </row>
    <row r="39" spans="1:1" x14ac:dyDescent="0.25">
      <c r="A39" s="205" t="s">
        <v>245</v>
      </c>
    </row>
    <row r="40" spans="1:1" x14ac:dyDescent="0.25">
      <c r="A40" s="205" t="s">
        <v>248</v>
      </c>
    </row>
    <row r="41" spans="1:1" x14ac:dyDescent="0.25">
      <c r="A41" s="205" t="s">
        <v>249</v>
      </c>
    </row>
    <row r="42" spans="1:1" x14ac:dyDescent="0.25">
      <c r="A42" s="205" t="s">
        <v>250</v>
      </c>
    </row>
    <row r="43" spans="1:1" x14ac:dyDescent="0.25">
      <c r="A43" s="205" t="s">
        <v>247</v>
      </c>
    </row>
    <row r="44" spans="1:1" x14ac:dyDescent="0.25">
      <c r="A44" s="205" t="s">
        <v>246</v>
      </c>
    </row>
    <row r="45" spans="1:1" x14ac:dyDescent="0.25">
      <c r="A45" s="205" t="s">
        <v>261</v>
      </c>
    </row>
    <row r="46" spans="1:1" x14ac:dyDescent="0.25">
      <c r="A46" s="205" t="s">
        <v>262</v>
      </c>
    </row>
    <row r="47" spans="1:1" x14ac:dyDescent="0.25">
      <c r="A47" s="205" t="s">
        <v>263</v>
      </c>
    </row>
    <row r="48" spans="1:1" x14ac:dyDescent="0.25">
      <c r="A48" s="205" t="s">
        <v>264</v>
      </c>
    </row>
    <row r="49" spans="1:1" x14ac:dyDescent="0.25">
      <c r="A49" s="205" t="s">
        <v>266</v>
      </c>
    </row>
    <row r="50" spans="1:1" x14ac:dyDescent="0.25">
      <c r="A50" s="205" t="s">
        <v>246</v>
      </c>
    </row>
    <row r="51" spans="1:1" x14ac:dyDescent="0.25">
      <c r="A51" s="205" t="s">
        <v>306</v>
      </c>
    </row>
    <row r="52" spans="1:1" x14ac:dyDescent="0.25">
      <c r="A52" s="205" t="s">
        <v>265</v>
      </c>
    </row>
    <row r="53" spans="1:1" x14ac:dyDescent="0.25">
      <c r="A53" s="205" t="s">
        <v>257</v>
      </c>
    </row>
    <row r="54" spans="1:1" x14ac:dyDescent="0.25">
      <c r="A54" s="205" t="s">
        <v>267</v>
      </c>
    </row>
    <row r="55" spans="1:1" x14ac:dyDescent="0.25">
      <c r="A55" s="205" t="s">
        <v>245</v>
      </c>
    </row>
    <row r="56" spans="1:1" x14ac:dyDescent="0.25">
      <c r="A56" s="205" t="s">
        <v>268</v>
      </c>
    </row>
    <row r="57" spans="1:1" x14ac:dyDescent="0.25">
      <c r="A57" s="205" t="s">
        <v>246</v>
      </c>
    </row>
    <row r="58" spans="1:1" x14ac:dyDescent="0.25">
      <c r="A58" s="205" t="s">
        <v>269</v>
      </c>
    </row>
    <row r="59" spans="1:1" x14ac:dyDescent="0.25">
      <c r="A59" s="205" t="s">
        <v>270</v>
      </c>
    </row>
    <row r="60" spans="1:1" x14ac:dyDescent="0.25">
      <c r="A60" s="205" t="s">
        <v>246</v>
      </c>
    </row>
    <row r="61" spans="1:1" x14ac:dyDescent="0.25">
      <c r="A61" s="205" t="s">
        <v>306</v>
      </c>
    </row>
    <row r="62" spans="1:1" x14ac:dyDescent="0.25">
      <c r="A62" s="205" t="s">
        <v>271</v>
      </c>
    </row>
    <row r="63" spans="1:1" x14ac:dyDescent="0.25">
      <c r="A63" s="205" t="s">
        <v>257</v>
      </c>
    </row>
    <row r="64" spans="1:1" x14ac:dyDescent="0.25">
      <c r="A64" s="205" t="s">
        <v>272</v>
      </c>
    </row>
    <row r="65" spans="1:1" x14ac:dyDescent="0.25">
      <c r="A65" s="205" t="s">
        <v>245</v>
      </c>
    </row>
    <row r="66" spans="1:1" x14ac:dyDescent="0.25">
      <c r="A66" s="205" t="s">
        <v>273</v>
      </c>
    </row>
    <row r="67" spans="1:1" x14ac:dyDescent="0.25">
      <c r="A67" s="205" t="s">
        <v>274</v>
      </c>
    </row>
    <row r="68" spans="1:1" x14ac:dyDescent="0.25">
      <c r="A68" s="205" t="s">
        <v>275</v>
      </c>
    </row>
    <row r="69" spans="1:1" x14ac:dyDescent="0.25">
      <c r="A69" s="205" t="s">
        <v>246</v>
      </c>
    </row>
    <row r="70" spans="1:1" x14ac:dyDescent="0.25">
      <c r="A70" s="205" t="s">
        <v>276</v>
      </c>
    </row>
    <row r="71" spans="1:1" x14ac:dyDescent="0.25">
      <c r="A71" s="205" t="s">
        <v>277</v>
      </c>
    </row>
    <row r="72" spans="1:1" x14ac:dyDescent="0.25">
      <c r="A72" s="205" t="s">
        <v>278</v>
      </c>
    </row>
    <row r="73" spans="1:1" x14ac:dyDescent="0.25">
      <c r="A73" s="205" t="s">
        <v>279</v>
      </c>
    </row>
    <row r="74" spans="1:1" x14ac:dyDescent="0.25">
      <c r="A74" s="205" t="s">
        <v>246</v>
      </c>
    </row>
    <row r="75" spans="1:1" x14ac:dyDescent="0.25">
      <c r="A75" s="205" t="s">
        <v>306</v>
      </c>
    </row>
    <row r="76" spans="1:1" x14ac:dyDescent="0.25">
      <c r="A76" s="205" t="s">
        <v>280</v>
      </c>
    </row>
    <row r="77" spans="1:1" x14ac:dyDescent="0.25">
      <c r="A77" s="205" t="s">
        <v>257</v>
      </c>
    </row>
    <row r="78" spans="1:1" x14ac:dyDescent="0.25">
      <c r="A78" s="205" t="s">
        <v>281</v>
      </c>
    </row>
    <row r="79" spans="1:1" x14ac:dyDescent="0.25">
      <c r="A79" s="205" t="s">
        <v>245</v>
      </c>
    </row>
    <row r="80" spans="1:1" x14ac:dyDescent="0.25">
      <c r="A80" s="205" t="s">
        <v>282</v>
      </c>
    </row>
    <row r="81" spans="1:1" x14ac:dyDescent="0.25">
      <c r="A81" s="205" t="s">
        <v>246</v>
      </c>
    </row>
    <row r="82" spans="1:1" x14ac:dyDescent="0.25">
      <c r="A82" s="205" t="s">
        <v>283</v>
      </c>
    </row>
    <row r="83" spans="1:1" x14ac:dyDescent="0.25">
      <c r="A83" s="205" t="s">
        <v>284</v>
      </c>
    </row>
    <row r="84" spans="1:1" x14ac:dyDescent="0.25">
      <c r="A84" s="205" t="s">
        <v>246</v>
      </c>
    </row>
    <row r="85" spans="1:1" x14ac:dyDescent="0.25">
      <c r="A85" s="205" t="s">
        <v>258</v>
      </c>
    </row>
    <row r="86" spans="1:1" x14ac:dyDescent="0.25">
      <c r="A86" s="205" t="s">
        <v>307</v>
      </c>
    </row>
    <row r="87" spans="1:1" x14ac:dyDescent="0.25">
      <c r="A87" s="205" t="s">
        <v>290</v>
      </c>
    </row>
    <row r="88" spans="1:1" x14ac:dyDescent="0.25">
      <c r="A88" s="205" t="s">
        <v>217</v>
      </c>
    </row>
    <row r="89" spans="1:1" x14ac:dyDescent="0.25">
      <c r="A89" s="205" t="s">
        <v>285</v>
      </c>
    </row>
    <row r="90" spans="1:1" x14ac:dyDescent="0.25">
      <c r="A90" s="205" t="s">
        <v>286</v>
      </c>
    </row>
    <row r="91" spans="1:1" x14ac:dyDescent="0.25">
      <c r="A91" s="205" t="s">
        <v>287</v>
      </c>
    </row>
    <row r="92" spans="1:1" x14ac:dyDescent="0.25">
      <c r="A92" s="205" t="s">
        <v>288</v>
      </c>
    </row>
    <row r="93" spans="1:1" x14ac:dyDescent="0.25">
      <c r="A93" s="205" t="s">
        <v>289</v>
      </c>
    </row>
    <row r="94" spans="1:1" x14ac:dyDescent="0.25">
      <c r="A94" s="205" t="s">
        <v>217</v>
      </c>
    </row>
    <row r="95" spans="1:1" x14ac:dyDescent="0.25">
      <c r="A95" s="205" t="s">
        <v>291</v>
      </c>
    </row>
    <row r="96" spans="1:1" x14ac:dyDescent="0.25">
      <c r="A96" s="205" t="s">
        <v>292</v>
      </c>
    </row>
    <row r="97" spans="1:1" x14ac:dyDescent="0.25">
      <c r="A97" s="205" t="s">
        <v>293</v>
      </c>
    </row>
    <row r="98" spans="1:1" x14ac:dyDescent="0.25">
      <c r="A98" s="205" t="s">
        <v>294</v>
      </c>
    </row>
    <row r="99" spans="1:1" x14ac:dyDescent="0.25">
      <c r="A99" s="205" t="s">
        <v>295</v>
      </c>
    </row>
    <row r="100" spans="1:1" x14ac:dyDescent="0.25">
      <c r="A100" s="205" t="s">
        <v>335</v>
      </c>
    </row>
    <row r="101" spans="1:1" x14ac:dyDescent="0.25">
      <c r="A101" s="205" t="s">
        <v>339</v>
      </c>
    </row>
    <row r="102" spans="1:1" x14ac:dyDescent="0.25">
      <c r="A102" s="205" t="s">
        <v>296</v>
      </c>
    </row>
    <row r="103" spans="1:1" x14ac:dyDescent="0.25">
      <c r="A103" s="205" t="s">
        <v>297</v>
      </c>
    </row>
    <row r="104" spans="1:1" x14ac:dyDescent="0.25">
      <c r="A104" s="205" t="s">
        <v>302</v>
      </c>
    </row>
    <row r="105" spans="1:1" x14ac:dyDescent="0.25">
      <c r="A105" s="205" t="s">
        <v>303</v>
      </c>
    </row>
    <row r="106" spans="1:1" x14ac:dyDescent="0.25">
      <c r="A106" s="205" t="s">
        <v>298</v>
      </c>
    </row>
    <row r="107" spans="1:1" x14ac:dyDescent="0.25">
      <c r="A107" s="205" t="s">
        <v>299</v>
      </c>
    </row>
    <row r="108" spans="1:1" x14ac:dyDescent="0.25">
      <c r="A108" s="205" t="s">
        <v>304</v>
      </c>
    </row>
    <row r="109" spans="1:1" x14ac:dyDescent="0.25">
      <c r="A109" s="205" t="s">
        <v>305</v>
      </c>
    </row>
    <row r="110" spans="1:1" x14ac:dyDescent="0.25">
      <c r="A110" s="205" t="s">
        <v>298</v>
      </c>
    </row>
    <row r="111" spans="1:1" x14ac:dyDescent="0.25">
      <c r="A111" s="205" t="s">
        <v>338</v>
      </c>
    </row>
    <row r="112" spans="1:1" x14ac:dyDescent="0.25">
      <c r="A112" s="205" t="s">
        <v>300</v>
      </c>
    </row>
    <row r="113" spans="1:1" x14ac:dyDescent="0.25">
      <c r="A113" s="205" t="s">
        <v>301</v>
      </c>
    </row>
    <row r="114" spans="1:1" x14ac:dyDescent="0.25">
      <c r="A114" s="205" t="s">
        <v>444</v>
      </c>
    </row>
    <row r="115" spans="1:1" x14ac:dyDescent="0.25">
      <c r="A115" s="205" t="s">
        <v>297</v>
      </c>
    </row>
    <row r="116" spans="1:1" x14ac:dyDescent="0.25">
      <c r="A116" s="205" t="s">
        <v>302</v>
      </c>
    </row>
    <row r="117" spans="1:1" x14ac:dyDescent="0.25">
      <c r="A117" s="205" t="s">
        <v>303</v>
      </c>
    </row>
    <row r="118" spans="1:1" x14ac:dyDescent="0.25">
      <c r="A118" s="205" t="s">
        <v>298</v>
      </c>
    </row>
    <row r="119" spans="1:1" x14ac:dyDescent="0.25">
      <c r="A119" s="205" t="s">
        <v>308</v>
      </c>
    </row>
    <row r="120" spans="1:1" x14ac:dyDescent="0.25">
      <c r="A120" s="205" t="s">
        <v>309</v>
      </c>
    </row>
    <row r="121" spans="1:1" x14ac:dyDescent="0.25">
      <c r="A121" s="205" t="s">
        <v>310</v>
      </c>
    </row>
    <row r="122" spans="1:1" x14ac:dyDescent="0.25">
      <c r="A122" s="205" t="s">
        <v>298</v>
      </c>
    </row>
    <row r="123" spans="1:1" x14ac:dyDescent="0.25">
      <c r="A123" s="205" t="s">
        <v>338</v>
      </c>
    </row>
    <row r="124" spans="1:1" x14ac:dyDescent="0.25">
      <c r="A124" s="205" t="s">
        <v>311</v>
      </c>
    </row>
    <row r="125" spans="1:1" x14ac:dyDescent="0.25">
      <c r="A125" s="205" t="s">
        <v>301</v>
      </c>
    </row>
    <row r="126" spans="1:1" x14ac:dyDescent="0.25">
      <c r="A126" s="205" t="s">
        <v>312</v>
      </c>
    </row>
    <row r="127" spans="1:1" x14ac:dyDescent="0.25">
      <c r="A127" s="205" t="s">
        <v>297</v>
      </c>
    </row>
    <row r="128" spans="1:1" x14ac:dyDescent="0.25">
      <c r="A128" s="205" t="s">
        <v>302</v>
      </c>
    </row>
    <row r="129" spans="1:1" x14ac:dyDescent="0.25">
      <c r="A129" s="205" t="s">
        <v>303</v>
      </c>
    </row>
    <row r="130" spans="1:1" x14ac:dyDescent="0.25">
      <c r="A130" s="205" t="s">
        <v>298</v>
      </c>
    </row>
    <row r="131" spans="1:1" x14ac:dyDescent="0.25">
      <c r="A131" s="205" t="s">
        <v>313</v>
      </c>
    </row>
    <row r="132" spans="1:1" x14ac:dyDescent="0.25">
      <c r="A132" s="205" t="s">
        <v>314</v>
      </c>
    </row>
    <row r="133" spans="1:1" x14ac:dyDescent="0.25">
      <c r="A133" s="205" t="s">
        <v>315</v>
      </c>
    </row>
    <row r="134" spans="1:1" x14ac:dyDescent="0.25">
      <c r="A134" s="205" t="s">
        <v>298</v>
      </c>
    </row>
    <row r="135" spans="1:1" x14ac:dyDescent="0.25">
      <c r="A135" s="205" t="s">
        <v>338</v>
      </c>
    </row>
    <row r="136" spans="1:1" x14ac:dyDescent="0.25">
      <c r="A136" s="205" t="s">
        <v>316</v>
      </c>
    </row>
    <row r="137" spans="1:1" x14ac:dyDescent="0.25">
      <c r="A137" s="205" t="s">
        <v>317</v>
      </c>
    </row>
    <row r="138" spans="1:1" x14ac:dyDescent="0.25">
      <c r="A138" s="205" t="s">
        <v>257</v>
      </c>
    </row>
    <row r="139" spans="1:1" x14ac:dyDescent="0.25">
      <c r="A139" s="205" t="s">
        <v>295</v>
      </c>
    </row>
    <row r="140" spans="1:1" x14ac:dyDescent="0.25">
      <c r="A140" s="205" t="s">
        <v>336</v>
      </c>
    </row>
    <row r="141" spans="1:1" x14ac:dyDescent="0.25">
      <c r="A141" s="205" t="s">
        <v>339</v>
      </c>
    </row>
    <row r="142" spans="1:1" x14ac:dyDescent="0.25">
      <c r="A142" s="205" t="s">
        <v>296</v>
      </c>
    </row>
    <row r="143" spans="1:1" x14ac:dyDescent="0.25">
      <c r="A143" s="205" t="s">
        <v>297</v>
      </c>
    </row>
    <row r="144" spans="1:1" x14ac:dyDescent="0.25">
      <c r="A144" s="205" t="s">
        <v>302</v>
      </c>
    </row>
    <row r="145" spans="1:1" x14ac:dyDescent="0.25">
      <c r="A145" s="205" t="s">
        <v>303</v>
      </c>
    </row>
    <row r="146" spans="1:1" x14ac:dyDescent="0.25">
      <c r="A146" s="205" t="s">
        <v>298</v>
      </c>
    </row>
    <row r="147" spans="1:1" x14ac:dyDescent="0.25">
      <c r="A147" s="205" t="s">
        <v>299</v>
      </c>
    </row>
    <row r="148" spans="1:1" x14ac:dyDescent="0.25">
      <c r="A148" s="205" t="s">
        <v>304</v>
      </c>
    </row>
    <row r="149" spans="1:1" x14ac:dyDescent="0.25">
      <c r="A149" s="205" t="s">
        <v>305</v>
      </c>
    </row>
    <row r="150" spans="1:1" x14ac:dyDescent="0.25">
      <c r="A150" s="205" t="s">
        <v>298</v>
      </c>
    </row>
    <row r="151" spans="1:1" x14ac:dyDescent="0.25">
      <c r="A151" s="205" t="s">
        <v>338</v>
      </c>
    </row>
    <row r="152" spans="1:1" x14ac:dyDescent="0.25">
      <c r="A152" s="205" t="s">
        <v>300</v>
      </c>
    </row>
    <row r="153" spans="1:1" x14ac:dyDescent="0.25">
      <c r="A153" s="205" t="s">
        <v>301</v>
      </c>
    </row>
    <row r="154" spans="1:1" x14ac:dyDescent="0.25">
      <c r="A154" s="205" t="s">
        <v>444</v>
      </c>
    </row>
    <row r="155" spans="1:1" x14ac:dyDescent="0.25">
      <c r="A155" s="205" t="s">
        <v>340</v>
      </c>
    </row>
    <row r="156" spans="1:1" x14ac:dyDescent="0.25">
      <c r="A156" s="205" t="s">
        <v>341</v>
      </c>
    </row>
    <row r="157" spans="1:1" x14ac:dyDescent="0.25">
      <c r="A157" s="205" t="s">
        <v>342</v>
      </c>
    </row>
    <row r="158" spans="1:1" x14ac:dyDescent="0.25">
      <c r="A158" s="205" t="s">
        <v>301</v>
      </c>
    </row>
    <row r="159" spans="1:1" x14ac:dyDescent="0.25">
      <c r="A159" s="205" t="s">
        <v>312</v>
      </c>
    </row>
    <row r="160" spans="1:1" x14ac:dyDescent="0.25">
      <c r="A160" s="205" t="s">
        <v>297</v>
      </c>
    </row>
    <row r="161" spans="1:1" x14ac:dyDescent="0.25">
      <c r="A161" s="205" t="s">
        <v>302</v>
      </c>
    </row>
    <row r="162" spans="1:1" x14ac:dyDescent="0.25">
      <c r="A162" s="205" t="s">
        <v>303</v>
      </c>
    </row>
    <row r="163" spans="1:1" x14ac:dyDescent="0.25">
      <c r="A163" s="205" t="s">
        <v>298</v>
      </c>
    </row>
    <row r="164" spans="1:1" x14ac:dyDescent="0.25">
      <c r="A164" s="205" t="s">
        <v>313</v>
      </c>
    </row>
    <row r="165" spans="1:1" x14ac:dyDescent="0.25">
      <c r="A165" s="205" t="s">
        <v>314</v>
      </c>
    </row>
    <row r="166" spans="1:1" x14ac:dyDescent="0.25">
      <c r="A166" s="205" t="s">
        <v>315</v>
      </c>
    </row>
    <row r="167" spans="1:1" x14ac:dyDescent="0.25">
      <c r="A167" s="205" t="s">
        <v>298</v>
      </c>
    </row>
    <row r="168" spans="1:1" x14ac:dyDescent="0.25">
      <c r="A168" s="205" t="s">
        <v>338</v>
      </c>
    </row>
    <row r="169" spans="1:1" x14ac:dyDescent="0.25">
      <c r="A169" s="205" t="s">
        <v>316</v>
      </c>
    </row>
    <row r="170" spans="1:1" x14ac:dyDescent="0.25">
      <c r="A170" s="205" t="s">
        <v>317</v>
      </c>
    </row>
    <row r="171" spans="1:1" x14ac:dyDescent="0.25">
      <c r="A171" s="205" t="s">
        <v>257</v>
      </c>
    </row>
    <row r="172" spans="1:1" x14ac:dyDescent="0.25">
      <c r="A172" s="205" t="s">
        <v>295</v>
      </c>
    </row>
    <row r="173" spans="1:1" x14ac:dyDescent="0.25">
      <c r="A173" s="205" t="s">
        <v>337</v>
      </c>
    </row>
    <row r="174" spans="1:1" x14ac:dyDescent="0.25">
      <c r="A174" s="205" t="s">
        <v>339</v>
      </c>
    </row>
    <row r="175" spans="1:1" x14ac:dyDescent="0.25">
      <c r="A175" s="205" t="s">
        <v>296</v>
      </c>
    </row>
    <row r="176" spans="1:1" x14ac:dyDescent="0.25">
      <c r="A176" s="205" t="s">
        <v>297</v>
      </c>
    </row>
    <row r="177" spans="1:1" x14ac:dyDescent="0.25">
      <c r="A177" s="205" t="s">
        <v>302</v>
      </c>
    </row>
    <row r="178" spans="1:1" x14ac:dyDescent="0.25">
      <c r="A178" s="205" t="s">
        <v>303</v>
      </c>
    </row>
    <row r="179" spans="1:1" x14ac:dyDescent="0.25">
      <c r="A179" s="205" t="s">
        <v>298</v>
      </c>
    </row>
    <row r="180" spans="1:1" x14ac:dyDescent="0.25">
      <c r="A180" s="205" t="s">
        <v>299</v>
      </c>
    </row>
    <row r="181" spans="1:1" x14ac:dyDescent="0.25">
      <c r="A181" s="205" t="s">
        <v>304</v>
      </c>
    </row>
    <row r="182" spans="1:1" x14ac:dyDescent="0.25">
      <c r="A182" s="205" t="s">
        <v>305</v>
      </c>
    </row>
    <row r="183" spans="1:1" x14ac:dyDescent="0.25">
      <c r="A183" s="205" t="s">
        <v>298</v>
      </c>
    </row>
    <row r="184" spans="1:1" x14ac:dyDescent="0.25">
      <c r="A184" s="205" t="s">
        <v>338</v>
      </c>
    </row>
    <row r="185" spans="1:1" x14ac:dyDescent="0.25">
      <c r="A185" s="205" t="s">
        <v>300</v>
      </c>
    </row>
    <row r="186" spans="1:1" x14ac:dyDescent="0.25">
      <c r="A186" s="205" t="s">
        <v>301</v>
      </c>
    </row>
    <row r="187" spans="1:1" x14ac:dyDescent="0.25">
      <c r="A187" s="205" t="s">
        <v>444</v>
      </c>
    </row>
    <row r="188" spans="1:1" x14ac:dyDescent="0.25">
      <c r="A188" s="205" t="s">
        <v>297</v>
      </c>
    </row>
    <row r="189" spans="1:1" x14ac:dyDescent="0.25">
      <c r="A189" s="205" t="s">
        <v>302</v>
      </c>
    </row>
    <row r="190" spans="1:1" x14ac:dyDescent="0.25">
      <c r="A190" s="205" t="s">
        <v>303</v>
      </c>
    </row>
    <row r="191" spans="1:1" x14ac:dyDescent="0.25">
      <c r="A191" s="205" t="s">
        <v>298</v>
      </c>
    </row>
    <row r="192" spans="1:1" x14ac:dyDescent="0.25">
      <c r="A192" s="205" t="s">
        <v>308</v>
      </c>
    </row>
    <row r="193" spans="1:1" x14ac:dyDescent="0.25">
      <c r="A193" s="205" t="s">
        <v>309</v>
      </c>
    </row>
    <row r="194" spans="1:1" x14ac:dyDescent="0.25">
      <c r="A194" s="205" t="s">
        <v>310</v>
      </c>
    </row>
    <row r="195" spans="1:1" x14ac:dyDescent="0.25">
      <c r="A195" s="205" t="s">
        <v>298</v>
      </c>
    </row>
    <row r="196" spans="1:1" x14ac:dyDescent="0.25">
      <c r="A196" s="205" t="s">
        <v>338</v>
      </c>
    </row>
    <row r="197" spans="1:1" x14ac:dyDescent="0.25">
      <c r="A197" s="205" t="s">
        <v>311</v>
      </c>
    </row>
    <row r="198" spans="1:1" x14ac:dyDescent="0.25">
      <c r="A198" s="205" t="s">
        <v>301</v>
      </c>
    </row>
    <row r="199" spans="1:1" x14ac:dyDescent="0.25">
      <c r="A199" s="205" t="s">
        <v>312</v>
      </c>
    </row>
    <row r="200" spans="1:1" x14ac:dyDescent="0.25">
      <c r="A200" s="205" t="s">
        <v>297</v>
      </c>
    </row>
    <row r="201" spans="1:1" x14ac:dyDescent="0.25">
      <c r="A201" s="205" t="s">
        <v>302</v>
      </c>
    </row>
    <row r="202" spans="1:1" x14ac:dyDescent="0.25">
      <c r="A202" s="205" t="s">
        <v>303</v>
      </c>
    </row>
    <row r="203" spans="1:1" x14ac:dyDescent="0.25">
      <c r="A203" s="205" t="s">
        <v>298</v>
      </c>
    </row>
    <row r="204" spans="1:1" x14ac:dyDescent="0.25">
      <c r="A204" s="205" t="s">
        <v>313</v>
      </c>
    </row>
    <row r="205" spans="1:1" x14ac:dyDescent="0.25">
      <c r="A205" s="205" t="s">
        <v>314</v>
      </c>
    </row>
    <row r="206" spans="1:1" x14ac:dyDescent="0.25">
      <c r="A206" s="205" t="s">
        <v>315</v>
      </c>
    </row>
    <row r="207" spans="1:1" x14ac:dyDescent="0.25">
      <c r="A207" s="205" t="s">
        <v>298</v>
      </c>
    </row>
    <row r="208" spans="1:1" x14ac:dyDescent="0.25">
      <c r="A208" s="205" t="s">
        <v>338</v>
      </c>
    </row>
    <row r="209" spans="1:1" x14ac:dyDescent="0.25">
      <c r="A209" s="205" t="s">
        <v>316</v>
      </c>
    </row>
    <row r="210" spans="1:1" x14ac:dyDescent="0.25">
      <c r="A210" s="205" t="s">
        <v>317</v>
      </c>
    </row>
    <row r="211" spans="1:1" x14ac:dyDescent="0.25">
      <c r="A211" s="205" t="s">
        <v>307</v>
      </c>
    </row>
    <row r="212" spans="1:1" x14ac:dyDescent="0.25">
      <c r="A212" s="205" t="s">
        <v>290</v>
      </c>
    </row>
    <row r="213" spans="1:1" x14ac:dyDescent="0.25">
      <c r="A213" s="205" t="s">
        <v>318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393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PFM_test_ver_15.json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PFM_test_ver_15.out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346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357</v>
      </c>
      <c r="C10" s="18"/>
      <c r="D10" s="19"/>
      <c r="E10" s="20" t="str">
        <f>A10&amp;CHAR(34)&amp;B10&amp;CHAR(34)</f>
        <v>"embedded"</v>
      </c>
    </row>
    <row r="11" spans="1:5" x14ac:dyDescent="0.25">
      <c r="A11" s="1" t="str">
        <f>IF(LDQA_IQA=0,"",CHAR(34)&amp;"flaw orientation"&amp;CHAR(34)&amp;" : ")</f>
        <v/>
      </c>
      <c r="B11" s="23" t="s">
        <v>347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343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3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349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1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54</v>
      </c>
      <c r="C21" s="18"/>
      <c r="D21" s="19"/>
      <c r="E21" s="20" t="str">
        <f>A21&amp;IF(B21="no","false","true")</f>
        <v>"category-3 flaw analysis" : true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1</v>
      </c>
      <c r="C22" s="18"/>
      <c r="D22" s="19"/>
      <c r="E22" s="20" t="str">
        <f>A22&amp;IF(B22="no","false","true")</f>
        <v>"child subregion reports" : false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-250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250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394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2000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222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1</v>
      </c>
      <c r="C28" s="18"/>
      <c r="D28" s="19"/>
      <c r="E28" s="20" t="str">
        <f>A28&amp;IF(B28="no","false","true")</f>
        <v>"ductile tearing model" : false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1</v>
      </c>
      <c r="C29" s="18"/>
      <c r="D29" s="19" t="str">
        <f>IF(B29="yes","WARNING: large increase in calculation time","")</f>
        <v/>
      </c>
      <c r="E29" s="20" t="str">
        <f>A29&amp;IF(B29="no","false","true")</f>
        <v>"ductile tearing checks" : false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344</v>
      </c>
      <c r="C30" s="18"/>
      <c r="D30" s="19" t="str">
        <f>IF(B30="yes","WARNING: output may become very large","")</f>
        <v/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345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203</v>
      </c>
      <c r="C33" s="18"/>
      <c r="D33" s="19"/>
      <c r="E33" s="20" t="str">
        <f>A33&amp;IF(B33="High-constraint KIa model based on CCA specimens",1,2)</f>
        <v>"arrest model" : 2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54</v>
      </c>
      <c r="C34" s="18"/>
      <c r="D34" s="19"/>
      <c r="E34" s="20" t="str">
        <f>A34&amp;IF(B34="no","false","true")</f>
        <v>"resampling" : true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3</v>
      </c>
      <c r="C53" s="18"/>
      <c r="D53" s="19"/>
      <c r="E53" s="159" t="str">
        <f t="shared" ref="E53:E55" si="0">A53&amp;INT(B53)</f>
        <v>"transient number" : 3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10</v>
      </c>
      <c r="C54" s="18"/>
      <c r="D54" s="19"/>
      <c r="E54" s="159" t="str">
        <f t="shared" si="0"/>
        <v>"simulation number" : 10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200</v>
      </c>
      <c r="C55" s="18"/>
      <c r="D55" s="19"/>
      <c r="E55" s="159" t="str">
        <f t="shared" si="0"/>
        <v>"flaw number" : 200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1</v>
      </c>
      <c r="C58" s="18"/>
      <c r="D58" s="19" t="str">
        <f>IF(B58="yes","Fill table below","")</f>
        <v/>
      </c>
      <c r="E58" s="20" t="str">
        <f>A58&amp;IF(B58="no",0,COUNT($A$62:$A$1048576))</f>
        <v>"analysis time interval specification" : 0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3" t="s">
        <v>238</v>
      </c>
      <c r="D60" s="23" t="s">
        <v>238</v>
      </c>
    </row>
    <row r="61" spans="1:5" x14ac:dyDescent="0.25">
      <c r="A61" s="86" t="str">
        <f>IF(B58="yes","PFM Transient Number (from FAVLoad)","")</f>
        <v/>
      </c>
      <c r="B61" s="86" t="str">
        <f>IF(B58="yes","Thermal-Hydraulic Sequence Number (from FAVLoad)","")</f>
        <v/>
      </c>
      <c r="C61" s="87" t="str">
        <f>IF(B58="yes","PFM Analysis Start Time","")</f>
        <v/>
      </c>
      <c r="D61" s="87" t="str">
        <f>IF(B58="yes","PFM Analysis End Time","")</f>
        <v/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/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321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222</v>
      </c>
      <c r="N15" s="13" t="s">
        <v>222</v>
      </c>
      <c r="O15" s="93" t="s">
        <v>100</v>
      </c>
      <c r="P15" s="93" t="s">
        <v>319</v>
      </c>
      <c r="Q15" s="13" t="s">
        <v>33</v>
      </c>
      <c r="R15" s="93" t="s">
        <v>320</v>
      </c>
      <c r="S15" s="93" t="s">
        <v>100</v>
      </c>
      <c r="T15" s="93" t="s">
        <v>100</v>
      </c>
      <c r="U15" s="93" t="s">
        <v>348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2.9624999999999999</v>
      </c>
      <c r="G16" s="175">
        <v>0.21299999999999999</v>
      </c>
      <c r="H16" s="175">
        <v>1.01</v>
      </c>
      <c r="I16" s="175">
        <v>1.9E-2</v>
      </c>
      <c r="J16" s="175">
        <v>1</v>
      </c>
      <c r="K16" s="94">
        <v>1</v>
      </c>
      <c r="L16" s="94">
        <v>1</v>
      </c>
      <c r="M16" s="176">
        <v>-56</v>
      </c>
      <c r="N16" s="176">
        <v>17</v>
      </c>
      <c r="O16" s="94">
        <v>11</v>
      </c>
      <c r="P16" s="94">
        <v>0.95799999999999996</v>
      </c>
      <c r="Q16" s="175">
        <v>60.71</v>
      </c>
      <c r="R16" s="175">
        <v>516</v>
      </c>
      <c r="S16" s="94">
        <v>1</v>
      </c>
      <c r="T16" s="94">
        <v>0</v>
      </c>
      <c r="U16" s="175">
        <v>0</v>
      </c>
    </row>
    <row r="17" spans="1:21" x14ac:dyDescent="0.25">
      <c r="A17" s="94" t="s">
        <v>71</v>
      </c>
      <c r="B17" s="83">
        <v>2</v>
      </c>
      <c r="C17" s="94">
        <v>9</v>
      </c>
      <c r="D17" s="94">
        <v>10</v>
      </c>
      <c r="E17" s="94">
        <v>2</v>
      </c>
      <c r="F17" s="175">
        <v>3.8089</v>
      </c>
      <c r="G17" s="175">
        <v>0.21299999999999999</v>
      </c>
      <c r="H17" s="175">
        <v>1.01</v>
      </c>
      <c r="I17" s="175">
        <v>1.9E-2</v>
      </c>
      <c r="J17" s="175">
        <v>1</v>
      </c>
      <c r="K17" s="94">
        <v>1</v>
      </c>
      <c r="L17" s="94">
        <v>1</v>
      </c>
      <c r="M17" s="176">
        <v>-56</v>
      </c>
      <c r="N17" s="176">
        <v>17</v>
      </c>
      <c r="O17" s="94">
        <v>11</v>
      </c>
      <c r="P17" s="94">
        <v>0.95799999999999996</v>
      </c>
      <c r="Q17" s="175">
        <v>60.71</v>
      </c>
      <c r="R17" s="175">
        <v>516</v>
      </c>
      <c r="S17" s="94">
        <v>1</v>
      </c>
      <c r="T17" s="94">
        <v>0</v>
      </c>
      <c r="U17" s="175">
        <v>0</v>
      </c>
    </row>
    <row r="18" spans="1:21" x14ac:dyDescent="0.25">
      <c r="A18" s="94" t="s">
        <v>71</v>
      </c>
      <c r="B18" s="83">
        <v>3</v>
      </c>
      <c r="C18" s="94">
        <v>10</v>
      </c>
      <c r="D18" s="94">
        <v>8</v>
      </c>
      <c r="E18" s="94">
        <v>3</v>
      </c>
      <c r="F18" s="175">
        <v>3.8089</v>
      </c>
      <c r="G18" s="175">
        <v>0.21299999999999999</v>
      </c>
      <c r="H18" s="175">
        <v>1.01</v>
      </c>
      <c r="I18" s="175">
        <v>1.9E-2</v>
      </c>
      <c r="J18" s="175">
        <v>1</v>
      </c>
      <c r="K18" s="94">
        <v>1</v>
      </c>
      <c r="L18" s="94">
        <v>1</v>
      </c>
      <c r="M18" s="176">
        <v>-56</v>
      </c>
      <c r="N18" s="176">
        <v>17</v>
      </c>
      <c r="O18" s="94">
        <v>11</v>
      </c>
      <c r="P18" s="94">
        <v>0.95799999999999996</v>
      </c>
      <c r="Q18" s="175">
        <v>60.71</v>
      </c>
      <c r="R18" s="175">
        <v>516</v>
      </c>
      <c r="S18" s="94">
        <v>1</v>
      </c>
      <c r="T18" s="94">
        <v>0</v>
      </c>
      <c r="U18" s="175">
        <v>0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3.8553999999999999</v>
      </c>
      <c r="G19" s="175">
        <v>0.21299999999999999</v>
      </c>
      <c r="H19" s="175">
        <v>1.01</v>
      </c>
      <c r="I19" s="175">
        <v>1.9E-2</v>
      </c>
      <c r="J19" s="175">
        <v>1</v>
      </c>
      <c r="K19" s="94">
        <v>1</v>
      </c>
      <c r="L19" s="94">
        <v>1</v>
      </c>
      <c r="M19" s="176">
        <v>-56</v>
      </c>
      <c r="N19" s="176">
        <v>17</v>
      </c>
      <c r="O19" s="94">
        <v>11</v>
      </c>
      <c r="P19" s="94">
        <v>1.1579999999999999</v>
      </c>
      <c r="Q19" s="175">
        <v>93.98</v>
      </c>
      <c r="R19" s="175">
        <v>799</v>
      </c>
      <c r="S19" s="94">
        <v>1</v>
      </c>
      <c r="T19" s="94">
        <v>0</v>
      </c>
      <c r="U19" s="175">
        <v>0</v>
      </c>
    </row>
    <row r="20" spans="1:21" x14ac:dyDescent="0.25">
      <c r="A20" s="94" t="s">
        <v>71</v>
      </c>
      <c r="B20" s="83">
        <v>5</v>
      </c>
      <c r="C20" s="94">
        <v>12</v>
      </c>
      <c r="D20" s="94">
        <v>13</v>
      </c>
      <c r="E20" s="94">
        <v>5</v>
      </c>
      <c r="F20" s="175">
        <v>2.9891999999999999</v>
      </c>
      <c r="G20" s="175">
        <v>0.21299999999999999</v>
      </c>
      <c r="H20" s="175">
        <v>1.01</v>
      </c>
      <c r="I20" s="175">
        <v>1.9E-2</v>
      </c>
      <c r="J20" s="175">
        <v>1</v>
      </c>
      <c r="K20" s="94">
        <v>1</v>
      </c>
      <c r="L20" s="94">
        <v>1</v>
      </c>
      <c r="M20" s="176">
        <v>-56</v>
      </c>
      <c r="N20" s="176">
        <v>17</v>
      </c>
      <c r="O20" s="94">
        <v>11</v>
      </c>
      <c r="P20" s="94">
        <v>1.1579999999999999</v>
      </c>
      <c r="Q20" s="175">
        <v>93.98</v>
      </c>
      <c r="R20" s="175">
        <v>799</v>
      </c>
      <c r="S20" s="94">
        <v>1</v>
      </c>
      <c r="T20" s="94">
        <v>0</v>
      </c>
      <c r="U20" s="175">
        <v>0</v>
      </c>
    </row>
    <row r="21" spans="1:21" x14ac:dyDescent="0.25">
      <c r="A21" s="94" t="s">
        <v>71</v>
      </c>
      <c r="B21" s="83">
        <v>6</v>
      </c>
      <c r="C21" s="94">
        <v>13</v>
      </c>
      <c r="D21" s="94">
        <v>11</v>
      </c>
      <c r="E21" s="94">
        <v>6</v>
      </c>
      <c r="F21" s="175">
        <v>3.8553999999999999</v>
      </c>
      <c r="G21" s="175">
        <v>0.21299999999999999</v>
      </c>
      <c r="H21" s="175">
        <v>1.01</v>
      </c>
      <c r="I21" s="175">
        <v>1.9E-2</v>
      </c>
      <c r="J21" s="175">
        <v>1</v>
      </c>
      <c r="K21" s="94">
        <v>1</v>
      </c>
      <c r="L21" s="94">
        <v>1</v>
      </c>
      <c r="M21" s="176">
        <v>-56</v>
      </c>
      <c r="N21" s="176">
        <v>17</v>
      </c>
      <c r="O21" s="94">
        <v>11</v>
      </c>
      <c r="P21" s="94">
        <v>1.1579999999999999</v>
      </c>
      <c r="Q21" s="175">
        <v>93.98</v>
      </c>
      <c r="R21" s="175">
        <v>799</v>
      </c>
      <c r="S21" s="94">
        <v>1</v>
      </c>
      <c r="T21" s="94">
        <v>0</v>
      </c>
      <c r="U21" s="175">
        <v>0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4.8502000000000001</v>
      </c>
      <c r="G22" s="175">
        <v>0.20300000000000001</v>
      </c>
      <c r="H22" s="175">
        <v>1.018</v>
      </c>
      <c r="I22" s="175">
        <v>1.2999999999999999E-2</v>
      </c>
      <c r="J22" s="175">
        <v>1</v>
      </c>
      <c r="K22" s="94">
        <v>2</v>
      </c>
      <c r="L22" s="94">
        <v>2</v>
      </c>
      <c r="M22" s="176">
        <v>-56</v>
      </c>
      <c r="N22" s="176">
        <v>17</v>
      </c>
      <c r="O22" s="94">
        <v>11</v>
      </c>
      <c r="P22" s="94">
        <v>360</v>
      </c>
      <c r="Q22" s="175">
        <v>1.31</v>
      </c>
      <c r="R22" s="175">
        <v>4833</v>
      </c>
      <c r="S22" s="94">
        <v>2</v>
      </c>
      <c r="T22" s="94">
        <v>0</v>
      </c>
      <c r="U22" s="175">
        <v>0</v>
      </c>
    </row>
    <row r="23" spans="1:21" x14ac:dyDescent="0.25">
      <c r="A23" s="94" t="s">
        <v>350</v>
      </c>
      <c r="B23" s="83">
        <v>8</v>
      </c>
      <c r="C23" s="94">
        <v>8</v>
      </c>
      <c r="D23" s="94">
        <v>8</v>
      </c>
      <c r="E23" s="94">
        <v>8</v>
      </c>
      <c r="F23" s="175">
        <v>4.8456000000000001</v>
      </c>
      <c r="G23" s="175">
        <v>0.19</v>
      </c>
      <c r="H23" s="175">
        <v>0.48</v>
      </c>
      <c r="I23" s="175">
        <v>1.6E-2</v>
      </c>
      <c r="J23" s="175">
        <v>1</v>
      </c>
      <c r="K23" s="94">
        <v>0</v>
      </c>
      <c r="L23" s="94">
        <v>0</v>
      </c>
      <c r="M23" s="176">
        <v>0</v>
      </c>
      <c r="N23" s="176">
        <v>17</v>
      </c>
      <c r="O23" s="94">
        <v>21</v>
      </c>
      <c r="P23" s="94">
        <v>119</v>
      </c>
      <c r="Q23" s="175">
        <v>60.71</v>
      </c>
      <c r="R23" s="175">
        <v>0</v>
      </c>
      <c r="S23" s="94">
        <v>0</v>
      </c>
      <c r="T23" s="94">
        <v>0</v>
      </c>
      <c r="U23" s="175">
        <v>0</v>
      </c>
    </row>
    <row r="24" spans="1:21" x14ac:dyDescent="0.25">
      <c r="A24" s="94" t="s">
        <v>350</v>
      </c>
      <c r="B24" s="83">
        <v>9</v>
      </c>
      <c r="C24" s="94">
        <v>9</v>
      </c>
      <c r="D24" s="94">
        <v>9</v>
      </c>
      <c r="E24" s="94">
        <v>9</v>
      </c>
      <c r="F24" s="175">
        <v>4.8456000000000001</v>
      </c>
      <c r="G24" s="175">
        <v>0.19</v>
      </c>
      <c r="H24" s="175">
        <v>0.5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-30</v>
      </c>
      <c r="N24" s="176">
        <v>17</v>
      </c>
      <c r="O24" s="94">
        <v>21</v>
      </c>
      <c r="P24" s="94">
        <v>119</v>
      </c>
      <c r="Q24" s="175">
        <v>60.71</v>
      </c>
      <c r="R24" s="175">
        <v>0</v>
      </c>
      <c r="S24" s="94">
        <v>0</v>
      </c>
      <c r="T24" s="94">
        <v>0</v>
      </c>
      <c r="U24" s="175">
        <v>0</v>
      </c>
    </row>
    <row r="25" spans="1:21" x14ac:dyDescent="0.25">
      <c r="A25" s="94" t="s">
        <v>350</v>
      </c>
      <c r="B25" s="83">
        <v>10</v>
      </c>
      <c r="C25" s="94">
        <v>10</v>
      </c>
      <c r="D25" s="94">
        <v>10</v>
      </c>
      <c r="E25" s="94">
        <v>10</v>
      </c>
      <c r="F25" s="175">
        <v>4.8456000000000001</v>
      </c>
      <c r="G25" s="175">
        <v>0.12</v>
      </c>
      <c r="H25" s="175">
        <v>0.55000000000000004</v>
      </c>
      <c r="I25" s="175">
        <v>0.01</v>
      </c>
      <c r="J25" s="175">
        <v>1</v>
      </c>
      <c r="K25" s="94">
        <v>0</v>
      </c>
      <c r="L25" s="94">
        <v>0</v>
      </c>
      <c r="M25" s="176">
        <v>-25</v>
      </c>
      <c r="N25" s="176">
        <v>17</v>
      </c>
      <c r="O25" s="94">
        <v>21</v>
      </c>
      <c r="P25" s="94">
        <v>119</v>
      </c>
      <c r="Q25" s="175">
        <v>60.71</v>
      </c>
      <c r="R25" s="175">
        <v>0</v>
      </c>
      <c r="S25" s="94">
        <v>0</v>
      </c>
      <c r="T25" s="94">
        <v>0</v>
      </c>
      <c r="U25" s="175">
        <v>0</v>
      </c>
    </row>
    <row r="26" spans="1:21" x14ac:dyDescent="0.25">
      <c r="A26" s="94" t="s">
        <v>350</v>
      </c>
      <c r="B26" s="83">
        <v>11</v>
      </c>
      <c r="C26" s="94">
        <v>11</v>
      </c>
      <c r="D26" s="94">
        <v>11</v>
      </c>
      <c r="E26" s="94">
        <v>11</v>
      </c>
      <c r="F26" s="175">
        <v>4.9015000000000004</v>
      </c>
      <c r="G26" s="175">
        <v>0.24</v>
      </c>
      <c r="H26" s="175">
        <v>0.51</v>
      </c>
      <c r="I26" s="175">
        <v>8.9999999999999993E-3</v>
      </c>
      <c r="J26" s="175">
        <v>1</v>
      </c>
      <c r="K26" s="94">
        <v>0</v>
      </c>
      <c r="L26" s="94">
        <v>0</v>
      </c>
      <c r="M26" s="176">
        <v>-5</v>
      </c>
      <c r="N26" s="176">
        <v>17</v>
      </c>
      <c r="O26" s="94">
        <v>21</v>
      </c>
      <c r="P26" s="94">
        <v>118.8</v>
      </c>
      <c r="Q26" s="175">
        <v>93.98</v>
      </c>
      <c r="R26" s="175">
        <v>0</v>
      </c>
      <c r="S26" s="94">
        <v>0</v>
      </c>
      <c r="T26" s="94">
        <v>0</v>
      </c>
      <c r="U26" s="175">
        <v>0</v>
      </c>
    </row>
    <row r="27" spans="1:21" x14ac:dyDescent="0.25">
      <c r="A27" s="94" t="s">
        <v>350</v>
      </c>
      <c r="B27" s="83">
        <v>12</v>
      </c>
      <c r="C27" s="94">
        <v>12</v>
      </c>
      <c r="D27" s="94">
        <v>12</v>
      </c>
      <c r="E27" s="94">
        <v>12</v>
      </c>
      <c r="F27" s="175">
        <v>4.9015000000000004</v>
      </c>
      <c r="G27" s="175">
        <v>0.24</v>
      </c>
      <c r="H27" s="175">
        <v>0.52</v>
      </c>
      <c r="I27" s="175">
        <v>0.01</v>
      </c>
      <c r="J27" s="175">
        <v>1</v>
      </c>
      <c r="K27" s="94">
        <v>0</v>
      </c>
      <c r="L27" s="94">
        <v>0</v>
      </c>
      <c r="M27" s="176">
        <v>-30</v>
      </c>
      <c r="N27" s="176">
        <v>17</v>
      </c>
      <c r="O27" s="94">
        <v>21</v>
      </c>
      <c r="P27" s="94">
        <v>118.8</v>
      </c>
      <c r="Q27" s="175">
        <v>93.98</v>
      </c>
      <c r="R27" s="175">
        <v>0</v>
      </c>
      <c r="S27" s="94">
        <v>0</v>
      </c>
      <c r="T27" s="94">
        <v>0</v>
      </c>
      <c r="U27" s="175">
        <v>0</v>
      </c>
    </row>
    <row r="28" spans="1:21" x14ac:dyDescent="0.25">
      <c r="A28" s="94" t="s">
        <v>350</v>
      </c>
      <c r="B28" s="83">
        <v>13</v>
      </c>
      <c r="C28" s="94">
        <v>13</v>
      </c>
      <c r="D28" s="94">
        <v>13</v>
      </c>
      <c r="E28" s="94">
        <v>13</v>
      </c>
      <c r="F28" s="175">
        <v>4.9015000000000004</v>
      </c>
      <c r="G28" s="175">
        <v>0.24</v>
      </c>
      <c r="H28" s="175">
        <v>0.5</v>
      </c>
      <c r="I28" s="175">
        <v>1.0999999999999999E-2</v>
      </c>
      <c r="J28" s="175">
        <v>1</v>
      </c>
      <c r="K28" s="94">
        <v>0</v>
      </c>
      <c r="L28" s="94">
        <v>0</v>
      </c>
      <c r="M28" s="176">
        <v>-5</v>
      </c>
      <c r="N28" s="176">
        <v>17</v>
      </c>
      <c r="O28" s="94">
        <v>21</v>
      </c>
      <c r="P28" s="94">
        <v>118.8</v>
      </c>
      <c r="Q28" s="175">
        <v>93.98</v>
      </c>
      <c r="R28" s="175">
        <v>0</v>
      </c>
      <c r="S28" s="94">
        <v>0</v>
      </c>
      <c r="T28" s="94">
        <v>0</v>
      </c>
      <c r="U28" s="175">
        <v>0</v>
      </c>
    </row>
  </sheetData>
  <sheetProtection sheet="1" objects="1" scenarios="1"/>
  <dataValidations count="14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S23:S28 P16:R28 M16:N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L16 L17 L18 L19 L20 L21 L22 L23 L24 L25 L26 L27 L28" xr:uid="{498E5E5D-689F-4B56-A6DE-CC8200356A31}">
      <formula1>"0.Plates and forgings,1.Linde 80 or Linde 0091 weld fluxes,2.All other fluxes,3.Linde 1092 weld flux,0,1,2,3"</formula1>
    </dataValidation>
    <dataValidation type="list" allowBlank="1" showInputMessage="1" showErrorMessage="1" sqref="O16 O17 O18 O19 O20 O21 O22 O23 O24 O25 O26 O27 O28" xr:uid="{88B8F717-4CA9-437F-A209-32AC3A7D813E}">
      <formula1>"11.weld major region,21.plate major region,31.forging major region,11,21,31"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K23 K24 K25 K26 K27 K28" xr:uid="{45FD0AF8-5BFC-4176-9A0A-803B75A4ABAB}">
      <formula1>"1.CE plate,2.All other plates,1,2"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23"/>
  <sheetViews>
    <sheetView tabSelected="1" zoomScaleNormal="100" workbookViewId="0">
      <pane ySplit="7" topLeftCell="A8" activePane="bottomLeft" state="frozen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209</v>
      </c>
    </row>
    <row r="2" spans="1:1" x14ac:dyDescent="0.25">
      <c r="A2" s="205" t="s">
        <v>472</v>
      </c>
    </row>
    <row r="3" spans="1:1" x14ac:dyDescent="0.25">
      <c r="A3" s="205" t="s">
        <v>445</v>
      </c>
    </row>
    <row r="4" spans="1:1" x14ac:dyDescent="0.25">
      <c r="A4" s="205" t="s">
        <v>446</v>
      </c>
    </row>
    <row r="5" spans="1:1" x14ac:dyDescent="0.25">
      <c r="A5" s="205" t="s">
        <v>447</v>
      </c>
    </row>
    <row r="6" spans="1:1" x14ac:dyDescent="0.25">
      <c r="A6" s="205" t="s">
        <v>448</v>
      </c>
    </row>
    <row r="7" spans="1:1" x14ac:dyDescent="0.25">
      <c r="A7" s="205" t="s">
        <v>449</v>
      </c>
    </row>
    <row r="8" spans="1:1" x14ac:dyDescent="0.25">
      <c r="A8" s="205" t="s">
        <v>450</v>
      </c>
    </row>
    <row r="9" spans="1:1" x14ac:dyDescent="0.25">
      <c r="A9" s="205" t="s">
        <v>395</v>
      </c>
    </row>
    <row r="10" spans="1:1" x14ac:dyDescent="0.25">
      <c r="A10" s="205" t="s">
        <v>451</v>
      </c>
    </row>
    <row r="11" spans="1:1" x14ac:dyDescent="0.25">
      <c r="A11" s="205" t="s">
        <v>452</v>
      </c>
    </row>
    <row r="12" spans="1:1" x14ac:dyDescent="0.25">
      <c r="A12" s="205" t="s">
        <v>453</v>
      </c>
    </row>
    <row r="13" spans="1:1" x14ac:dyDescent="0.25">
      <c r="A13" s="205" t="s">
        <v>454</v>
      </c>
    </row>
    <row r="14" spans="1:1" x14ac:dyDescent="0.25">
      <c r="A14" s="205" t="s">
        <v>455</v>
      </c>
    </row>
    <row r="15" spans="1:1" x14ac:dyDescent="0.25">
      <c r="A15" s="205" t="s">
        <v>456</v>
      </c>
    </row>
    <row r="16" spans="1:1" x14ac:dyDescent="0.25">
      <c r="A16" s="205" t="s">
        <v>457</v>
      </c>
    </row>
    <row r="17" spans="1:1" x14ac:dyDescent="0.25">
      <c r="A17" s="205" t="s">
        <v>458</v>
      </c>
    </row>
    <row r="18" spans="1:1" x14ac:dyDescent="0.25">
      <c r="A18" s="205" t="s">
        <v>459</v>
      </c>
    </row>
    <row r="19" spans="1:1" x14ac:dyDescent="0.25">
      <c r="A19" s="205" t="s">
        <v>392</v>
      </c>
    </row>
    <row r="20" spans="1:1" x14ac:dyDescent="0.25">
      <c r="A20" s="205" t="s">
        <v>460</v>
      </c>
    </row>
    <row r="21" spans="1:1" x14ac:dyDescent="0.25">
      <c r="A21" s="205" t="s">
        <v>461</v>
      </c>
    </row>
    <row r="22" spans="1:1" x14ac:dyDescent="0.25">
      <c r="A22" s="205" t="s">
        <v>462</v>
      </c>
    </row>
    <row r="23" spans="1:1" x14ac:dyDescent="0.25">
      <c r="A23" s="205" t="s">
        <v>463</v>
      </c>
    </row>
    <row r="24" spans="1:1" x14ac:dyDescent="0.25">
      <c r="A24" s="205" t="s">
        <v>464</v>
      </c>
    </row>
    <row r="25" spans="1:1" x14ac:dyDescent="0.25">
      <c r="A25" s="205" t="s">
        <v>465</v>
      </c>
    </row>
    <row r="26" spans="1:1" x14ac:dyDescent="0.25">
      <c r="A26" s="205" t="s">
        <v>466</v>
      </c>
    </row>
    <row r="27" spans="1:1" x14ac:dyDescent="0.25">
      <c r="A27" s="205" t="s">
        <v>467</v>
      </c>
    </row>
    <row r="28" spans="1:1" x14ac:dyDescent="0.25">
      <c r="A28" s="205" t="s">
        <v>468</v>
      </c>
    </row>
    <row r="29" spans="1:1" x14ac:dyDescent="0.25">
      <c r="A29" s="205" t="s">
        <v>217</v>
      </c>
    </row>
    <row r="30" spans="1:1" x14ac:dyDescent="0.25">
      <c r="A30" s="205" t="s">
        <v>473</v>
      </c>
    </row>
    <row r="31" spans="1:1" x14ac:dyDescent="0.25">
      <c r="A31" s="205" t="s">
        <v>469</v>
      </c>
    </row>
    <row r="32" spans="1:1" x14ac:dyDescent="0.25">
      <c r="A32" s="205" t="s">
        <v>470</v>
      </c>
    </row>
    <row r="33" spans="1:1" x14ac:dyDescent="0.25">
      <c r="A33" s="205" t="s">
        <v>471</v>
      </c>
    </row>
    <row r="34" spans="1:1" x14ac:dyDescent="0.25">
      <c r="A34" s="205" t="s">
        <v>217</v>
      </c>
    </row>
    <row r="35" spans="1:1" x14ac:dyDescent="0.25">
      <c r="A35" s="205" t="s">
        <v>351</v>
      </c>
    </row>
    <row r="36" spans="1:1" x14ac:dyDescent="0.25">
      <c r="A36" s="205" t="s">
        <v>326</v>
      </c>
    </row>
    <row r="37" spans="1:1" x14ac:dyDescent="0.25">
      <c r="A37" s="205" t="s">
        <v>352</v>
      </c>
    </row>
    <row r="38" spans="1:1" x14ac:dyDescent="0.25">
      <c r="A38" s="205" t="s">
        <v>474</v>
      </c>
    </row>
    <row r="39" spans="1:1" x14ac:dyDescent="0.25">
      <c r="A39" s="205" t="s">
        <v>475</v>
      </c>
    </row>
    <row r="40" spans="1:1" x14ac:dyDescent="0.25">
      <c r="A40" s="205" t="s">
        <v>476</v>
      </c>
    </row>
    <row r="41" spans="1:1" x14ac:dyDescent="0.25">
      <c r="A41" s="205" t="s">
        <v>396</v>
      </c>
    </row>
    <row r="42" spans="1:1" x14ac:dyDescent="0.25">
      <c r="A42" s="205" t="s">
        <v>358</v>
      </c>
    </row>
    <row r="43" spans="1:1" x14ac:dyDescent="0.25">
      <c r="A43" s="205" t="s">
        <v>359</v>
      </c>
    </row>
    <row r="44" spans="1:1" x14ac:dyDescent="0.25">
      <c r="A44" s="205" t="s">
        <v>360</v>
      </c>
    </row>
    <row r="45" spans="1:1" x14ac:dyDescent="0.25">
      <c r="A45" s="205" t="s">
        <v>353</v>
      </c>
    </row>
    <row r="46" spans="1:1" x14ac:dyDescent="0.25">
      <c r="A46" s="205" t="s">
        <v>477</v>
      </c>
    </row>
    <row r="47" spans="1:1" x14ac:dyDescent="0.25">
      <c r="A47" s="205" t="s">
        <v>478</v>
      </c>
    </row>
    <row r="48" spans="1:1" x14ac:dyDescent="0.25">
      <c r="A48" s="205" t="s">
        <v>397</v>
      </c>
    </row>
    <row r="49" spans="1:1" x14ac:dyDescent="0.25">
      <c r="A49" s="205" t="s">
        <v>479</v>
      </c>
    </row>
    <row r="50" spans="1:1" x14ac:dyDescent="0.25">
      <c r="A50" s="205" t="s">
        <v>480</v>
      </c>
    </row>
    <row r="51" spans="1:1" x14ac:dyDescent="0.25">
      <c r="A51" s="205" t="s">
        <v>398</v>
      </c>
    </row>
    <row r="52" spans="1:1" x14ac:dyDescent="0.25">
      <c r="A52" s="205" t="s">
        <v>399</v>
      </c>
    </row>
    <row r="53" spans="1:1" x14ac:dyDescent="0.25">
      <c r="A53" s="205" t="s">
        <v>481</v>
      </c>
    </row>
    <row r="54" spans="1:1" x14ac:dyDescent="0.25">
      <c r="A54" s="205" t="s">
        <v>361</v>
      </c>
    </row>
    <row r="55" spans="1:1" x14ac:dyDescent="0.25">
      <c r="A55" s="205" t="s">
        <v>482</v>
      </c>
    </row>
    <row r="56" spans="1:1" x14ac:dyDescent="0.25">
      <c r="A56" s="205" t="s">
        <v>483</v>
      </c>
    </row>
    <row r="57" spans="1:1" x14ac:dyDescent="0.25">
      <c r="A57" s="205" t="s">
        <v>213</v>
      </c>
    </row>
    <row r="58" spans="1:1" x14ac:dyDescent="0.25">
      <c r="A58" s="205" t="s">
        <v>326</v>
      </c>
    </row>
    <row r="59" spans="1:1" x14ac:dyDescent="0.25">
      <c r="A59" s="205" t="s">
        <v>362</v>
      </c>
    </row>
    <row r="60" spans="1:1" x14ac:dyDescent="0.25">
      <c r="A60" s="205" t="s">
        <v>484</v>
      </c>
    </row>
    <row r="61" spans="1:1" x14ac:dyDescent="0.25">
      <c r="A61" s="205" t="s">
        <v>485</v>
      </c>
    </row>
    <row r="62" spans="1:1" x14ac:dyDescent="0.25">
      <c r="A62" s="205" t="s">
        <v>486</v>
      </c>
    </row>
    <row r="63" spans="1:1" x14ac:dyDescent="0.25">
      <c r="A63" s="205" t="s">
        <v>400</v>
      </c>
    </row>
    <row r="64" spans="1:1" x14ac:dyDescent="0.25">
      <c r="A64" s="205" t="s">
        <v>358</v>
      </c>
    </row>
    <row r="65" spans="1:1" x14ac:dyDescent="0.25">
      <c r="A65" s="205" t="s">
        <v>359</v>
      </c>
    </row>
    <row r="66" spans="1:1" x14ac:dyDescent="0.25">
      <c r="A66" s="205" t="s">
        <v>360</v>
      </c>
    </row>
    <row r="67" spans="1:1" x14ac:dyDescent="0.25">
      <c r="A67" s="205" t="s">
        <v>353</v>
      </c>
    </row>
    <row r="68" spans="1:1" x14ac:dyDescent="0.25">
      <c r="A68" s="205" t="s">
        <v>477</v>
      </c>
    </row>
    <row r="69" spans="1:1" x14ac:dyDescent="0.25">
      <c r="A69" s="205" t="s">
        <v>478</v>
      </c>
    </row>
    <row r="70" spans="1:1" x14ac:dyDescent="0.25">
      <c r="A70" s="205" t="s">
        <v>397</v>
      </c>
    </row>
    <row r="71" spans="1:1" x14ac:dyDescent="0.25">
      <c r="A71" s="205" t="s">
        <v>479</v>
      </c>
    </row>
    <row r="72" spans="1:1" x14ac:dyDescent="0.25">
      <c r="A72" s="205" t="s">
        <v>480</v>
      </c>
    </row>
    <row r="73" spans="1:1" x14ac:dyDescent="0.25">
      <c r="A73" s="205" t="s">
        <v>398</v>
      </c>
    </row>
    <row r="74" spans="1:1" x14ac:dyDescent="0.25">
      <c r="A74" s="205" t="s">
        <v>399</v>
      </c>
    </row>
    <row r="75" spans="1:1" x14ac:dyDescent="0.25">
      <c r="A75" s="205" t="s">
        <v>481</v>
      </c>
    </row>
    <row r="76" spans="1:1" x14ac:dyDescent="0.25">
      <c r="A76" s="205" t="s">
        <v>361</v>
      </c>
    </row>
    <row r="77" spans="1:1" x14ac:dyDescent="0.25">
      <c r="A77" s="205" t="s">
        <v>482</v>
      </c>
    </row>
    <row r="78" spans="1:1" x14ac:dyDescent="0.25">
      <c r="A78" s="205" t="s">
        <v>483</v>
      </c>
    </row>
    <row r="79" spans="1:1" x14ac:dyDescent="0.25">
      <c r="A79" s="205" t="s">
        <v>213</v>
      </c>
    </row>
    <row r="80" spans="1:1" x14ac:dyDescent="0.25">
      <c r="A80" s="205" t="s">
        <v>326</v>
      </c>
    </row>
    <row r="81" spans="1:1" x14ac:dyDescent="0.25">
      <c r="A81" s="205" t="s">
        <v>363</v>
      </c>
    </row>
    <row r="82" spans="1:1" x14ac:dyDescent="0.25">
      <c r="A82" s="205" t="s">
        <v>487</v>
      </c>
    </row>
    <row r="83" spans="1:1" x14ac:dyDescent="0.25">
      <c r="A83" s="205" t="s">
        <v>488</v>
      </c>
    </row>
    <row r="84" spans="1:1" x14ac:dyDescent="0.25">
      <c r="A84" s="205" t="s">
        <v>489</v>
      </c>
    </row>
    <row r="85" spans="1:1" x14ac:dyDescent="0.25">
      <c r="A85" s="205" t="s">
        <v>400</v>
      </c>
    </row>
    <row r="86" spans="1:1" x14ac:dyDescent="0.25">
      <c r="A86" s="205" t="s">
        <v>358</v>
      </c>
    </row>
    <row r="87" spans="1:1" x14ac:dyDescent="0.25">
      <c r="A87" s="205" t="s">
        <v>359</v>
      </c>
    </row>
    <row r="88" spans="1:1" x14ac:dyDescent="0.25">
      <c r="A88" s="205" t="s">
        <v>360</v>
      </c>
    </row>
    <row r="89" spans="1:1" x14ac:dyDescent="0.25">
      <c r="A89" s="205" t="s">
        <v>353</v>
      </c>
    </row>
    <row r="90" spans="1:1" x14ac:dyDescent="0.25">
      <c r="A90" s="205" t="s">
        <v>477</v>
      </c>
    </row>
    <row r="91" spans="1:1" x14ac:dyDescent="0.25">
      <c r="A91" s="205" t="s">
        <v>478</v>
      </c>
    </row>
    <row r="92" spans="1:1" x14ac:dyDescent="0.25">
      <c r="A92" s="205" t="s">
        <v>397</v>
      </c>
    </row>
    <row r="93" spans="1:1" x14ac:dyDescent="0.25">
      <c r="A93" s="205" t="s">
        <v>479</v>
      </c>
    </row>
    <row r="94" spans="1:1" x14ac:dyDescent="0.25">
      <c r="A94" s="205" t="s">
        <v>480</v>
      </c>
    </row>
    <row r="95" spans="1:1" x14ac:dyDescent="0.25">
      <c r="A95" s="205" t="s">
        <v>398</v>
      </c>
    </row>
    <row r="96" spans="1:1" x14ac:dyDescent="0.25">
      <c r="A96" s="205" t="s">
        <v>399</v>
      </c>
    </row>
    <row r="97" spans="1:1" x14ac:dyDescent="0.25">
      <c r="A97" s="205" t="s">
        <v>481</v>
      </c>
    </row>
    <row r="98" spans="1:1" x14ac:dyDescent="0.25">
      <c r="A98" s="205" t="s">
        <v>361</v>
      </c>
    </row>
    <row r="99" spans="1:1" x14ac:dyDescent="0.25">
      <c r="A99" s="205" t="s">
        <v>482</v>
      </c>
    </row>
    <row r="100" spans="1:1" x14ac:dyDescent="0.25">
      <c r="A100" s="205" t="s">
        <v>483</v>
      </c>
    </row>
    <row r="101" spans="1:1" x14ac:dyDescent="0.25">
      <c r="A101" s="205" t="s">
        <v>213</v>
      </c>
    </row>
    <row r="102" spans="1:1" x14ac:dyDescent="0.25">
      <c r="A102" s="205" t="s">
        <v>326</v>
      </c>
    </row>
    <row r="103" spans="1:1" x14ac:dyDescent="0.25">
      <c r="A103" s="205" t="s">
        <v>364</v>
      </c>
    </row>
    <row r="104" spans="1:1" x14ac:dyDescent="0.25">
      <c r="A104" s="205" t="s">
        <v>490</v>
      </c>
    </row>
    <row r="105" spans="1:1" x14ac:dyDescent="0.25">
      <c r="A105" s="205" t="s">
        <v>491</v>
      </c>
    </row>
    <row r="106" spans="1:1" x14ac:dyDescent="0.25">
      <c r="A106" s="205" t="s">
        <v>492</v>
      </c>
    </row>
    <row r="107" spans="1:1" x14ac:dyDescent="0.25">
      <c r="A107" s="205" t="s">
        <v>401</v>
      </c>
    </row>
    <row r="108" spans="1:1" x14ac:dyDescent="0.25">
      <c r="A108" s="205" t="s">
        <v>358</v>
      </c>
    </row>
    <row r="109" spans="1:1" x14ac:dyDescent="0.25">
      <c r="A109" s="205" t="s">
        <v>359</v>
      </c>
    </row>
    <row r="110" spans="1:1" x14ac:dyDescent="0.25">
      <c r="A110" s="205" t="s">
        <v>360</v>
      </c>
    </row>
    <row r="111" spans="1:1" x14ac:dyDescent="0.25">
      <c r="A111" s="205" t="s">
        <v>353</v>
      </c>
    </row>
    <row r="112" spans="1:1" x14ac:dyDescent="0.25">
      <c r="A112" s="205" t="s">
        <v>477</v>
      </c>
    </row>
    <row r="113" spans="1:1" x14ac:dyDescent="0.25">
      <c r="A113" s="205" t="s">
        <v>478</v>
      </c>
    </row>
    <row r="114" spans="1:1" x14ac:dyDescent="0.25">
      <c r="A114" s="205" t="s">
        <v>397</v>
      </c>
    </row>
    <row r="115" spans="1:1" x14ac:dyDescent="0.25">
      <c r="A115" s="205" t="s">
        <v>479</v>
      </c>
    </row>
    <row r="116" spans="1:1" x14ac:dyDescent="0.25">
      <c r="A116" s="205" t="s">
        <v>480</v>
      </c>
    </row>
    <row r="117" spans="1:1" x14ac:dyDescent="0.25">
      <c r="A117" s="205" t="s">
        <v>402</v>
      </c>
    </row>
    <row r="118" spans="1:1" x14ac:dyDescent="0.25">
      <c r="A118" s="205" t="s">
        <v>403</v>
      </c>
    </row>
    <row r="119" spans="1:1" x14ac:dyDescent="0.25">
      <c r="A119" s="205" t="s">
        <v>493</v>
      </c>
    </row>
    <row r="120" spans="1:1" x14ac:dyDescent="0.25">
      <c r="A120" s="205" t="s">
        <v>361</v>
      </c>
    </row>
    <row r="121" spans="1:1" x14ac:dyDescent="0.25">
      <c r="A121" s="205" t="s">
        <v>482</v>
      </c>
    </row>
    <row r="122" spans="1:1" x14ac:dyDescent="0.25">
      <c r="A122" s="205" t="s">
        <v>483</v>
      </c>
    </row>
    <row r="123" spans="1:1" x14ac:dyDescent="0.25">
      <c r="A123" s="205" t="s">
        <v>213</v>
      </c>
    </row>
    <row r="124" spans="1:1" x14ac:dyDescent="0.25">
      <c r="A124" s="205" t="s">
        <v>326</v>
      </c>
    </row>
    <row r="125" spans="1:1" x14ac:dyDescent="0.25">
      <c r="A125" s="205" t="s">
        <v>365</v>
      </c>
    </row>
    <row r="126" spans="1:1" x14ac:dyDescent="0.25">
      <c r="A126" s="205" t="s">
        <v>494</v>
      </c>
    </row>
    <row r="127" spans="1:1" x14ac:dyDescent="0.25">
      <c r="A127" s="205" t="s">
        <v>495</v>
      </c>
    </row>
    <row r="128" spans="1:1" x14ac:dyDescent="0.25">
      <c r="A128" s="205" t="s">
        <v>496</v>
      </c>
    </row>
    <row r="129" spans="1:1" x14ac:dyDescent="0.25">
      <c r="A129" s="205" t="s">
        <v>404</v>
      </c>
    </row>
    <row r="130" spans="1:1" x14ac:dyDescent="0.25">
      <c r="A130" s="205" t="s">
        <v>358</v>
      </c>
    </row>
    <row r="131" spans="1:1" x14ac:dyDescent="0.25">
      <c r="A131" s="205" t="s">
        <v>359</v>
      </c>
    </row>
    <row r="132" spans="1:1" x14ac:dyDescent="0.25">
      <c r="A132" s="205" t="s">
        <v>360</v>
      </c>
    </row>
    <row r="133" spans="1:1" x14ac:dyDescent="0.25">
      <c r="A133" s="205" t="s">
        <v>353</v>
      </c>
    </row>
    <row r="134" spans="1:1" x14ac:dyDescent="0.25">
      <c r="A134" s="205" t="s">
        <v>477</v>
      </c>
    </row>
    <row r="135" spans="1:1" x14ac:dyDescent="0.25">
      <c r="A135" s="205" t="s">
        <v>478</v>
      </c>
    </row>
    <row r="136" spans="1:1" x14ac:dyDescent="0.25">
      <c r="A136" s="205" t="s">
        <v>397</v>
      </c>
    </row>
    <row r="137" spans="1:1" x14ac:dyDescent="0.25">
      <c r="A137" s="205" t="s">
        <v>479</v>
      </c>
    </row>
    <row r="138" spans="1:1" x14ac:dyDescent="0.25">
      <c r="A138" s="205" t="s">
        <v>480</v>
      </c>
    </row>
    <row r="139" spans="1:1" x14ac:dyDescent="0.25">
      <c r="A139" s="205" t="s">
        <v>402</v>
      </c>
    </row>
    <row r="140" spans="1:1" x14ac:dyDescent="0.25">
      <c r="A140" s="205" t="s">
        <v>403</v>
      </c>
    </row>
    <row r="141" spans="1:1" x14ac:dyDescent="0.25">
      <c r="A141" s="205" t="s">
        <v>493</v>
      </c>
    </row>
    <row r="142" spans="1:1" x14ac:dyDescent="0.25">
      <c r="A142" s="205" t="s">
        <v>361</v>
      </c>
    </row>
    <row r="143" spans="1:1" x14ac:dyDescent="0.25">
      <c r="A143" s="205" t="s">
        <v>482</v>
      </c>
    </row>
    <row r="144" spans="1:1" x14ac:dyDescent="0.25">
      <c r="A144" s="205" t="s">
        <v>483</v>
      </c>
    </row>
    <row r="145" spans="1:1" x14ac:dyDescent="0.25">
      <c r="A145" s="205" t="s">
        <v>213</v>
      </c>
    </row>
    <row r="146" spans="1:1" x14ac:dyDescent="0.25">
      <c r="A146" s="205" t="s">
        <v>326</v>
      </c>
    </row>
    <row r="147" spans="1:1" x14ac:dyDescent="0.25">
      <c r="A147" s="205" t="s">
        <v>366</v>
      </c>
    </row>
    <row r="148" spans="1:1" x14ac:dyDescent="0.25">
      <c r="A148" s="205" t="s">
        <v>497</v>
      </c>
    </row>
    <row r="149" spans="1:1" x14ac:dyDescent="0.25">
      <c r="A149" s="205" t="s">
        <v>498</v>
      </c>
    </row>
    <row r="150" spans="1:1" x14ac:dyDescent="0.25">
      <c r="A150" s="205" t="s">
        <v>499</v>
      </c>
    </row>
    <row r="151" spans="1:1" x14ac:dyDescent="0.25">
      <c r="A151" s="205" t="s">
        <v>401</v>
      </c>
    </row>
    <row r="152" spans="1:1" x14ac:dyDescent="0.25">
      <c r="A152" s="205" t="s">
        <v>358</v>
      </c>
    </row>
    <row r="153" spans="1:1" x14ac:dyDescent="0.25">
      <c r="A153" s="205" t="s">
        <v>359</v>
      </c>
    </row>
    <row r="154" spans="1:1" x14ac:dyDescent="0.25">
      <c r="A154" s="205" t="s">
        <v>360</v>
      </c>
    </row>
    <row r="155" spans="1:1" x14ac:dyDescent="0.25">
      <c r="A155" s="205" t="s">
        <v>353</v>
      </c>
    </row>
    <row r="156" spans="1:1" x14ac:dyDescent="0.25">
      <c r="A156" s="205" t="s">
        <v>477</v>
      </c>
    </row>
    <row r="157" spans="1:1" x14ac:dyDescent="0.25">
      <c r="A157" s="205" t="s">
        <v>478</v>
      </c>
    </row>
    <row r="158" spans="1:1" x14ac:dyDescent="0.25">
      <c r="A158" s="205" t="s">
        <v>397</v>
      </c>
    </row>
    <row r="159" spans="1:1" x14ac:dyDescent="0.25">
      <c r="A159" s="205" t="s">
        <v>479</v>
      </c>
    </row>
    <row r="160" spans="1:1" x14ac:dyDescent="0.25">
      <c r="A160" s="205" t="s">
        <v>480</v>
      </c>
    </row>
    <row r="161" spans="1:1" x14ac:dyDescent="0.25">
      <c r="A161" s="205" t="s">
        <v>402</v>
      </c>
    </row>
    <row r="162" spans="1:1" x14ac:dyDescent="0.25">
      <c r="A162" s="205" t="s">
        <v>403</v>
      </c>
    </row>
    <row r="163" spans="1:1" x14ac:dyDescent="0.25">
      <c r="A163" s="205" t="s">
        <v>493</v>
      </c>
    </row>
    <row r="164" spans="1:1" x14ac:dyDescent="0.25">
      <c r="A164" s="205" t="s">
        <v>361</v>
      </c>
    </row>
    <row r="165" spans="1:1" x14ac:dyDescent="0.25">
      <c r="A165" s="205" t="s">
        <v>482</v>
      </c>
    </row>
    <row r="166" spans="1:1" x14ac:dyDescent="0.25">
      <c r="A166" s="205" t="s">
        <v>483</v>
      </c>
    </row>
    <row r="167" spans="1:1" x14ac:dyDescent="0.25">
      <c r="A167" s="205" t="s">
        <v>213</v>
      </c>
    </row>
    <row r="168" spans="1:1" x14ac:dyDescent="0.25">
      <c r="A168" s="205" t="s">
        <v>326</v>
      </c>
    </row>
    <row r="169" spans="1:1" x14ac:dyDescent="0.25">
      <c r="A169" s="205" t="s">
        <v>367</v>
      </c>
    </row>
    <row r="170" spans="1:1" x14ac:dyDescent="0.25">
      <c r="A170" s="205" t="s">
        <v>474</v>
      </c>
    </row>
    <row r="171" spans="1:1" x14ac:dyDescent="0.25">
      <c r="A171" s="205" t="s">
        <v>498</v>
      </c>
    </row>
    <row r="172" spans="1:1" x14ac:dyDescent="0.25">
      <c r="A172" s="205" t="s">
        <v>500</v>
      </c>
    </row>
    <row r="173" spans="1:1" x14ac:dyDescent="0.25">
      <c r="A173" s="205" t="s">
        <v>405</v>
      </c>
    </row>
    <row r="174" spans="1:1" x14ac:dyDescent="0.25">
      <c r="A174" s="205" t="s">
        <v>368</v>
      </c>
    </row>
    <row r="175" spans="1:1" x14ac:dyDescent="0.25">
      <c r="A175" s="205" t="s">
        <v>369</v>
      </c>
    </row>
    <row r="176" spans="1:1" x14ac:dyDescent="0.25">
      <c r="A176" s="205" t="s">
        <v>370</v>
      </c>
    </row>
    <row r="177" spans="1:1" x14ac:dyDescent="0.25">
      <c r="A177" s="205" t="s">
        <v>353</v>
      </c>
    </row>
    <row r="178" spans="1:1" x14ac:dyDescent="0.25">
      <c r="A178" s="205" t="s">
        <v>501</v>
      </c>
    </row>
    <row r="179" spans="1:1" x14ac:dyDescent="0.25">
      <c r="A179" s="205" t="s">
        <v>502</v>
      </c>
    </row>
    <row r="180" spans="1:1" x14ac:dyDescent="0.25">
      <c r="A180" s="205" t="s">
        <v>397</v>
      </c>
    </row>
    <row r="181" spans="1:1" x14ac:dyDescent="0.25">
      <c r="A181" s="205" t="s">
        <v>479</v>
      </c>
    </row>
    <row r="182" spans="1:1" x14ac:dyDescent="0.25">
      <c r="A182" s="205" t="s">
        <v>480</v>
      </c>
    </row>
    <row r="183" spans="1:1" x14ac:dyDescent="0.25">
      <c r="A183" s="205" t="s">
        <v>355</v>
      </c>
    </row>
    <row r="184" spans="1:1" x14ac:dyDescent="0.25">
      <c r="A184" s="205" t="s">
        <v>406</v>
      </c>
    </row>
    <row r="185" spans="1:1" x14ac:dyDescent="0.25">
      <c r="A185" s="205" t="s">
        <v>503</v>
      </c>
    </row>
    <row r="186" spans="1:1" x14ac:dyDescent="0.25">
      <c r="A186" s="205" t="s">
        <v>371</v>
      </c>
    </row>
    <row r="187" spans="1:1" x14ac:dyDescent="0.25">
      <c r="A187" s="205" t="s">
        <v>482</v>
      </c>
    </row>
    <row r="188" spans="1:1" x14ac:dyDescent="0.25">
      <c r="A188" s="205" t="s">
        <v>483</v>
      </c>
    </row>
    <row r="189" spans="1:1" x14ac:dyDescent="0.25">
      <c r="A189" s="205" t="s">
        <v>213</v>
      </c>
    </row>
    <row r="190" spans="1:1" x14ac:dyDescent="0.25">
      <c r="A190" s="205" t="s">
        <v>326</v>
      </c>
    </row>
    <row r="191" spans="1:1" x14ac:dyDescent="0.25">
      <c r="A191" s="205" t="s">
        <v>372</v>
      </c>
    </row>
    <row r="192" spans="1:1" x14ac:dyDescent="0.25">
      <c r="A192" s="205" t="s">
        <v>474</v>
      </c>
    </row>
    <row r="193" spans="1:1" x14ac:dyDescent="0.25">
      <c r="A193" s="205" t="s">
        <v>488</v>
      </c>
    </row>
    <row r="194" spans="1:1" x14ac:dyDescent="0.25">
      <c r="A194" s="205" t="s">
        <v>504</v>
      </c>
    </row>
    <row r="195" spans="1:1" x14ac:dyDescent="0.25">
      <c r="A195" s="205" t="s">
        <v>407</v>
      </c>
    </row>
    <row r="196" spans="1:1" x14ac:dyDescent="0.25">
      <c r="A196" s="205" t="s">
        <v>385</v>
      </c>
    </row>
    <row r="197" spans="1:1" x14ac:dyDescent="0.25">
      <c r="A197" s="205" t="s">
        <v>386</v>
      </c>
    </row>
    <row r="198" spans="1:1" x14ac:dyDescent="0.25">
      <c r="A198" s="205" t="s">
        <v>387</v>
      </c>
    </row>
    <row r="199" spans="1:1" x14ac:dyDescent="0.25">
      <c r="A199" s="205" t="s">
        <v>353</v>
      </c>
    </row>
    <row r="200" spans="1:1" x14ac:dyDescent="0.25">
      <c r="A200" s="205" t="s">
        <v>505</v>
      </c>
    </row>
    <row r="201" spans="1:1" x14ac:dyDescent="0.25">
      <c r="A201" s="205" t="s">
        <v>506</v>
      </c>
    </row>
    <row r="202" spans="1:1" x14ac:dyDescent="0.25">
      <c r="A202" s="205" t="s">
        <v>388</v>
      </c>
    </row>
    <row r="203" spans="1:1" x14ac:dyDescent="0.25">
      <c r="A203" s="205" t="s">
        <v>479</v>
      </c>
    </row>
    <row r="204" spans="1:1" x14ac:dyDescent="0.25">
      <c r="A204" s="205" t="s">
        <v>507</v>
      </c>
    </row>
    <row r="205" spans="1:1" x14ac:dyDescent="0.25">
      <c r="A205" s="205" t="s">
        <v>408</v>
      </c>
    </row>
    <row r="206" spans="1:1" x14ac:dyDescent="0.25">
      <c r="A206" s="205" t="s">
        <v>399</v>
      </c>
    </row>
    <row r="207" spans="1:1" x14ac:dyDescent="0.25">
      <c r="A207" s="205" t="s">
        <v>508</v>
      </c>
    </row>
    <row r="208" spans="1:1" x14ac:dyDescent="0.25">
      <c r="A208" s="205" t="s">
        <v>356</v>
      </c>
    </row>
    <row r="209" spans="1:1" x14ac:dyDescent="0.25">
      <c r="A209" s="205" t="s">
        <v>482</v>
      </c>
    </row>
    <row r="210" spans="1:1" x14ac:dyDescent="0.25">
      <c r="A210" s="205" t="s">
        <v>483</v>
      </c>
    </row>
    <row r="211" spans="1:1" x14ac:dyDescent="0.25">
      <c r="A211" s="205" t="s">
        <v>213</v>
      </c>
    </row>
    <row r="212" spans="1:1" x14ac:dyDescent="0.25">
      <c r="A212" s="205" t="s">
        <v>326</v>
      </c>
    </row>
    <row r="213" spans="1:1" x14ac:dyDescent="0.25">
      <c r="A213" s="205" t="s">
        <v>373</v>
      </c>
    </row>
    <row r="214" spans="1:1" x14ac:dyDescent="0.25">
      <c r="A214" s="205" t="s">
        <v>484</v>
      </c>
    </row>
    <row r="215" spans="1:1" x14ac:dyDescent="0.25">
      <c r="A215" s="205" t="s">
        <v>475</v>
      </c>
    </row>
    <row r="216" spans="1:1" x14ac:dyDescent="0.25">
      <c r="A216" s="205" t="s">
        <v>509</v>
      </c>
    </row>
    <row r="217" spans="1:1" x14ac:dyDescent="0.25">
      <c r="A217" s="205" t="s">
        <v>407</v>
      </c>
    </row>
    <row r="218" spans="1:1" x14ac:dyDescent="0.25">
      <c r="A218" s="205" t="s">
        <v>385</v>
      </c>
    </row>
    <row r="219" spans="1:1" x14ac:dyDescent="0.25">
      <c r="A219" s="205" t="s">
        <v>383</v>
      </c>
    </row>
    <row r="220" spans="1:1" x14ac:dyDescent="0.25">
      <c r="A220" s="205" t="s">
        <v>389</v>
      </c>
    </row>
    <row r="221" spans="1:1" x14ac:dyDescent="0.25">
      <c r="A221" s="205" t="s">
        <v>353</v>
      </c>
    </row>
    <row r="222" spans="1:1" x14ac:dyDescent="0.25">
      <c r="A222" s="205" t="s">
        <v>505</v>
      </c>
    </row>
    <row r="223" spans="1:1" x14ac:dyDescent="0.25">
      <c r="A223" s="205" t="s">
        <v>506</v>
      </c>
    </row>
    <row r="224" spans="1:1" x14ac:dyDescent="0.25">
      <c r="A224" s="205" t="s">
        <v>354</v>
      </c>
    </row>
    <row r="225" spans="1:1" x14ac:dyDescent="0.25">
      <c r="A225" s="205" t="s">
        <v>479</v>
      </c>
    </row>
    <row r="226" spans="1:1" x14ac:dyDescent="0.25">
      <c r="A226" s="205" t="s">
        <v>507</v>
      </c>
    </row>
    <row r="227" spans="1:1" x14ac:dyDescent="0.25">
      <c r="A227" s="205" t="s">
        <v>408</v>
      </c>
    </row>
    <row r="228" spans="1:1" x14ac:dyDescent="0.25">
      <c r="A228" s="205" t="s">
        <v>399</v>
      </c>
    </row>
    <row r="229" spans="1:1" x14ac:dyDescent="0.25">
      <c r="A229" s="205" t="s">
        <v>508</v>
      </c>
    </row>
    <row r="230" spans="1:1" x14ac:dyDescent="0.25">
      <c r="A230" s="205" t="s">
        <v>356</v>
      </c>
    </row>
    <row r="231" spans="1:1" x14ac:dyDescent="0.25">
      <c r="A231" s="205" t="s">
        <v>482</v>
      </c>
    </row>
    <row r="232" spans="1:1" x14ac:dyDescent="0.25">
      <c r="A232" s="205" t="s">
        <v>483</v>
      </c>
    </row>
    <row r="233" spans="1:1" x14ac:dyDescent="0.25">
      <c r="A233" s="205" t="s">
        <v>213</v>
      </c>
    </row>
    <row r="234" spans="1:1" x14ac:dyDescent="0.25">
      <c r="A234" s="205" t="s">
        <v>326</v>
      </c>
    </row>
    <row r="235" spans="1:1" x14ac:dyDescent="0.25">
      <c r="A235" s="205" t="s">
        <v>374</v>
      </c>
    </row>
    <row r="236" spans="1:1" x14ac:dyDescent="0.25">
      <c r="A236" s="205" t="s">
        <v>487</v>
      </c>
    </row>
    <row r="237" spans="1:1" x14ac:dyDescent="0.25">
      <c r="A237" s="205" t="s">
        <v>485</v>
      </c>
    </row>
    <row r="238" spans="1:1" x14ac:dyDescent="0.25">
      <c r="A238" s="205" t="s">
        <v>510</v>
      </c>
    </row>
    <row r="239" spans="1:1" x14ac:dyDescent="0.25">
      <c r="A239" s="205" t="s">
        <v>407</v>
      </c>
    </row>
    <row r="240" spans="1:1" x14ac:dyDescent="0.25">
      <c r="A240" s="205" t="s">
        <v>390</v>
      </c>
    </row>
    <row r="241" spans="1:1" x14ac:dyDescent="0.25">
      <c r="A241" s="205" t="s">
        <v>391</v>
      </c>
    </row>
    <row r="242" spans="1:1" x14ac:dyDescent="0.25">
      <c r="A242" s="205" t="s">
        <v>382</v>
      </c>
    </row>
    <row r="243" spans="1:1" x14ac:dyDescent="0.25">
      <c r="A243" s="205" t="s">
        <v>353</v>
      </c>
    </row>
    <row r="244" spans="1:1" x14ac:dyDescent="0.25">
      <c r="A244" s="205" t="s">
        <v>505</v>
      </c>
    </row>
    <row r="245" spans="1:1" x14ac:dyDescent="0.25">
      <c r="A245" s="205" t="s">
        <v>506</v>
      </c>
    </row>
    <row r="246" spans="1:1" x14ac:dyDescent="0.25">
      <c r="A246" s="205" t="s">
        <v>409</v>
      </c>
    </row>
    <row r="247" spans="1:1" x14ac:dyDescent="0.25">
      <c r="A247" s="205" t="s">
        <v>479</v>
      </c>
    </row>
    <row r="248" spans="1:1" x14ac:dyDescent="0.25">
      <c r="A248" s="205" t="s">
        <v>507</v>
      </c>
    </row>
    <row r="249" spans="1:1" x14ac:dyDescent="0.25">
      <c r="A249" s="205" t="s">
        <v>408</v>
      </c>
    </row>
    <row r="250" spans="1:1" x14ac:dyDescent="0.25">
      <c r="A250" s="205" t="s">
        <v>399</v>
      </c>
    </row>
    <row r="251" spans="1:1" x14ac:dyDescent="0.25">
      <c r="A251" s="205" t="s">
        <v>508</v>
      </c>
    </row>
    <row r="252" spans="1:1" x14ac:dyDescent="0.25">
      <c r="A252" s="205" t="s">
        <v>356</v>
      </c>
    </row>
    <row r="253" spans="1:1" x14ac:dyDescent="0.25">
      <c r="A253" s="205" t="s">
        <v>482</v>
      </c>
    </row>
    <row r="254" spans="1:1" x14ac:dyDescent="0.25">
      <c r="A254" s="205" t="s">
        <v>483</v>
      </c>
    </row>
    <row r="255" spans="1:1" x14ac:dyDescent="0.25">
      <c r="A255" s="205" t="s">
        <v>213</v>
      </c>
    </row>
    <row r="256" spans="1:1" x14ac:dyDescent="0.25">
      <c r="A256" s="205" t="s">
        <v>326</v>
      </c>
    </row>
    <row r="257" spans="1:1" x14ac:dyDescent="0.25">
      <c r="A257" s="205" t="s">
        <v>375</v>
      </c>
    </row>
    <row r="258" spans="1:1" x14ac:dyDescent="0.25">
      <c r="A258" s="205" t="s">
        <v>490</v>
      </c>
    </row>
    <row r="259" spans="1:1" x14ac:dyDescent="0.25">
      <c r="A259" s="205" t="s">
        <v>498</v>
      </c>
    </row>
    <row r="260" spans="1:1" x14ac:dyDescent="0.25">
      <c r="A260" s="205" t="s">
        <v>511</v>
      </c>
    </row>
    <row r="261" spans="1:1" x14ac:dyDescent="0.25">
      <c r="A261" s="205" t="s">
        <v>410</v>
      </c>
    </row>
    <row r="262" spans="1:1" x14ac:dyDescent="0.25">
      <c r="A262" s="205" t="s">
        <v>378</v>
      </c>
    </row>
    <row r="263" spans="1:1" x14ac:dyDescent="0.25">
      <c r="A263" s="205" t="s">
        <v>379</v>
      </c>
    </row>
    <row r="264" spans="1:1" x14ac:dyDescent="0.25">
      <c r="A264" s="205" t="s">
        <v>380</v>
      </c>
    </row>
    <row r="265" spans="1:1" x14ac:dyDescent="0.25">
      <c r="A265" s="205" t="s">
        <v>353</v>
      </c>
    </row>
    <row r="266" spans="1:1" x14ac:dyDescent="0.25">
      <c r="A266" s="205" t="s">
        <v>505</v>
      </c>
    </row>
    <row r="267" spans="1:1" x14ac:dyDescent="0.25">
      <c r="A267" s="205" t="s">
        <v>506</v>
      </c>
    </row>
    <row r="268" spans="1:1" x14ac:dyDescent="0.25">
      <c r="A268" s="205" t="s">
        <v>411</v>
      </c>
    </row>
    <row r="269" spans="1:1" x14ac:dyDescent="0.25">
      <c r="A269" s="205" t="s">
        <v>479</v>
      </c>
    </row>
    <row r="270" spans="1:1" x14ac:dyDescent="0.25">
      <c r="A270" s="205" t="s">
        <v>507</v>
      </c>
    </row>
    <row r="271" spans="1:1" x14ac:dyDescent="0.25">
      <c r="A271" s="205" t="s">
        <v>412</v>
      </c>
    </row>
    <row r="272" spans="1:1" x14ac:dyDescent="0.25">
      <c r="A272" s="205" t="s">
        <v>403</v>
      </c>
    </row>
    <row r="273" spans="1:1" x14ac:dyDescent="0.25">
      <c r="A273" s="205" t="s">
        <v>508</v>
      </c>
    </row>
    <row r="274" spans="1:1" x14ac:dyDescent="0.25">
      <c r="A274" s="205" t="s">
        <v>356</v>
      </c>
    </row>
    <row r="275" spans="1:1" x14ac:dyDescent="0.25">
      <c r="A275" s="205" t="s">
        <v>482</v>
      </c>
    </row>
    <row r="276" spans="1:1" x14ac:dyDescent="0.25">
      <c r="A276" s="205" t="s">
        <v>483</v>
      </c>
    </row>
    <row r="277" spans="1:1" x14ac:dyDescent="0.25">
      <c r="A277" s="205" t="s">
        <v>213</v>
      </c>
    </row>
    <row r="278" spans="1:1" x14ac:dyDescent="0.25">
      <c r="A278" s="205" t="s">
        <v>326</v>
      </c>
    </row>
    <row r="279" spans="1:1" x14ac:dyDescent="0.25">
      <c r="A279" s="205" t="s">
        <v>376</v>
      </c>
    </row>
    <row r="280" spans="1:1" x14ac:dyDescent="0.25">
      <c r="A280" s="205" t="s">
        <v>494</v>
      </c>
    </row>
    <row r="281" spans="1:1" x14ac:dyDescent="0.25">
      <c r="A281" s="205" t="s">
        <v>491</v>
      </c>
    </row>
    <row r="282" spans="1:1" x14ac:dyDescent="0.25">
      <c r="A282" s="205" t="s">
        <v>512</v>
      </c>
    </row>
    <row r="283" spans="1:1" x14ac:dyDescent="0.25">
      <c r="A283" s="205" t="s">
        <v>410</v>
      </c>
    </row>
    <row r="284" spans="1:1" x14ac:dyDescent="0.25">
      <c r="A284" s="205" t="s">
        <v>378</v>
      </c>
    </row>
    <row r="285" spans="1:1" x14ac:dyDescent="0.25">
      <c r="A285" s="205" t="s">
        <v>381</v>
      </c>
    </row>
    <row r="286" spans="1:1" x14ac:dyDescent="0.25">
      <c r="A286" s="205" t="s">
        <v>382</v>
      </c>
    </row>
    <row r="287" spans="1:1" x14ac:dyDescent="0.25">
      <c r="A287" s="205" t="s">
        <v>353</v>
      </c>
    </row>
    <row r="288" spans="1:1" x14ac:dyDescent="0.25">
      <c r="A288" s="205" t="s">
        <v>505</v>
      </c>
    </row>
    <row r="289" spans="1:1" x14ac:dyDescent="0.25">
      <c r="A289" s="205" t="s">
        <v>506</v>
      </c>
    </row>
    <row r="290" spans="1:1" x14ac:dyDescent="0.25">
      <c r="A290" s="205" t="s">
        <v>354</v>
      </c>
    </row>
    <row r="291" spans="1:1" x14ac:dyDescent="0.25">
      <c r="A291" s="205" t="s">
        <v>479</v>
      </c>
    </row>
    <row r="292" spans="1:1" x14ac:dyDescent="0.25">
      <c r="A292" s="205" t="s">
        <v>507</v>
      </c>
    </row>
    <row r="293" spans="1:1" x14ac:dyDescent="0.25">
      <c r="A293" s="205" t="s">
        <v>412</v>
      </c>
    </row>
    <row r="294" spans="1:1" x14ac:dyDescent="0.25">
      <c r="A294" s="205" t="s">
        <v>403</v>
      </c>
    </row>
    <row r="295" spans="1:1" x14ac:dyDescent="0.25">
      <c r="A295" s="205" t="s">
        <v>508</v>
      </c>
    </row>
    <row r="296" spans="1:1" x14ac:dyDescent="0.25">
      <c r="A296" s="205" t="s">
        <v>356</v>
      </c>
    </row>
    <row r="297" spans="1:1" x14ac:dyDescent="0.25">
      <c r="A297" s="205" t="s">
        <v>482</v>
      </c>
    </row>
    <row r="298" spans="1:1" x14ac:dyDescent="0.25">
      <c r="A298" s="205" t="s">
        <v>483</v>
      </c>
    </row>
    <row r="299" spans="1:1" x14ac:dyDescent="0.25">
      <c r="A299" s="205" t="s">
        <v>213</v>
      </c>
    </row>
    <row r="300" spans="1:1" x14ac:dyDescent="0.25">
      <c r="A300" s="205" t="s">
        <v>326</v>
      </c>
    </row>
    <row r="301" spans="1:1" x14ac:dyDescent="0.25">
      <c r="A301" s="205" t="s">
        <v>377</v>
      </c>
    </row>
    <row r="302" spans="1:1" x14ac:dyDescent="0.25">
      <c r="A302" s="205" t="s">
        <v>497</v>
      </c>
    </row>
    <row r="303" spans="1:1" x14ac:dyDescent="0.25">
      <c r="A303" s="205" t="s">
        <v>495</v>
      </c>
    </row>
    <row r="304" spans="1:1" x14ac:dyDescent="0.25">
      <c r="A304" s="205" t="s">
        <v>513</v>
      </c>
    </row>
    <row r="305" spans="1:1" x14ac:dyDescent="0.25">
      <c r="A305" s="205" t="s">
        <v>410</v>
      </c>
    </row>
    <row r="306" spans="1:1" x14ac:dyDescent="0.25">
      <c r="A306" s="205" t="s">
        <v>378</v>
      </c>
    </row>
    <row r="307" spans="1:1" x14ac:dyDescent="0.25">
      <c r="A307" s="205" t="s">
        <v>383</v>
      </c>
    </row>
    <row r="308" spans="1:1" x14ac:dyDescent="0.25">
      <c r="A308" s="205" t="s">
        <v>384</v>
      </c>
    </row>
    <row r="309" spans="1:1" x14ac:dyDescent="0.25">
      <c r="A309" s="205" t="s">
        <v>353</v>
      </c>
    </row>
    <row r="310" spans="1:1" x14ac:dyDescent="0.25">
      <c r="A310" s="205" t="s">
        <v>505</v>
      </c>
    </row>
    <row r="311" spans="1:1" x14ac:dyDescent="0.25">
      <c r="A311" s="205" t="s">
        <v>506</v>
      </c>
    </row>
    <row r="312" spans="1:1" x14ac:dyDescent="0.25">
      <c r="A312" s="205" t="s">
        <v>411</v>
      </c>
    </row>
    <row r="313" spans="1:1" x14ac:dyDescent="0.25">
      <c r="A313" s="205" t="s">
        <v>479</v>
      </c>
    </row>
    <row r="314" spans="1:1" x14ac:dyDescent="0.25">
      <c r="A314" s="205" t="s">
        <v>507</v>
      </c>
    </row>
    <row r="315" spans="1:1" x14ac:dyDescent="0.25">
      <c r="A315" s="205" t="s">
        <v>412</v>
      </c>
    </row>
    <row r="316" spans="1:1" x14ac:dyDescent="0.25">
      <c r="A316" s="205" t="s">
        <v>403</v>
      </c>
    </row>
    <row r="317" spans="1:1" x14ac:dyDescent="0.25">
      <c r="A317" s="205" t="s">
        <v>508</v>
      </c>
    </row>
    <row r="318" spans="1:1" x14ac:dyDescent="0.25">
      <c r="A318" s="205" t="s">
        <v>356</v>
      </c>
    </row>
    <row r="319" spans="1:1" x14ac:dyDescent="0.25">
      <c r="A319" s="205" t="s">
        <v>482</v>
      </c>
    </row>
    <row r="320" spans="1:1" x14ac:dyDescent="0.25">
      <c r="A320" s="205" t="s">
        <v>483</v>
      </c>
    </row>
    <row r="321" spans="1:1" x14ac:dyDescent="0.25">
      <c r="A321" s="205" t="s">
        <v>290</v>
      </c>
    </row>
    <row r="322" spans="1:1" x14ac:dyDescent="0.25">
      <c r="A322" s="205" t="s">
        <v>327</v>
      </c>
    </row>
    <row r="323" spans="1:1" x14ac:dyDescent="0.25">
      <c r="A323" s="205" t="s">
        <v>322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443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328</v>
      </c>
      <c r="F12" s="98" t="s">
        <v>116</v>
      </c>
      <c r="G12" s="97" t="s">
        <v>328</v>
      </c>
      <c r="H12" s="98" t="s">
        <v>116</v>
      </c>
      <c r="I12" s="97" t="s">
        <v>328</v>
      </c>
      <c r="J12" s="98" t="s">
        <v>116</v>
      </c>
      <c r="K12" s="97" t="s">
        <v>328</v>
      </c>
      <c r="L12" s="98" t="s">
        <v>116</v>
      </c>
      <c r="M12" s="97" t="s">
        <v>328</v>
      </c>
      <c r="N12" s="98" t="s">
        <v>116</v>
      </c>
      <c r="O12" s="97" t="s">
        <v>328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209</v>
      </c>
    </row>
    <row r="2" spans="1:1" x14ac:dyDescent="0.25">
      <c r="A2" s="205" t="s">
        <v>514</v>
      </c>
    </row>
    <row r="3" spans="1:1" x14ac:dyDescent="0.25">
      <c r="A3" s="205" t="s">
        <v>326</v>
      </c>
    </row>
    <row r="4" spans="1:1" x14ac:dyDescent="0.25">
      <c r="A4" s="205" t="s">
        <v>515</v>
      </c>
    </row>
    <row r="5" spans="1:1" x14ac:dyDescent="0.25">
      <c r="A5" s="205" t="s">
        <v>522</v>
      </c>
    </row>
    <row r="6" spans="1:1" x14ac:dyDescent="0.25">
      <c r="A6" s="205" t="s">
        <v>329</v>
      </c>
    </row>
    <row r="7" spans="1:1" x14ac:dyDescent="0.25">
      <c r="A7" s="205" t="s">
        <v>330</v>
      </c>
    </row>
    <row r="8" spans="1:1" x14ac:dyDescent="0.25">
      <c r="A8" s="205" t="s">
        <v>417</v>
      </c>
    </row>
    <row r="9" spans="1:1" x14ac:dyDescent="0.25">
      <c r="A9" s="205" t="s">
        <v>418</v>
      </c>
    </row>
    <row r="10" spans="1:1" x14ac:dyDescent="0.25">
      <c r="A10" s="205" t="s">
        <v>419</v>
      </c>
    </row>
    <row r="11" spans="1:1" x14ac:dyDescent="0.25">
      <c r="A11" s="205" t="s">
        <v>420</v>
      </c>
    </row>
    <row r="12" spans="1:1" x14ac:dyDescent="0.25">
      <c r="A12" s="205" t="s">
        <v>246</v>
      </c>
    </row>
    <row r="13" spans="1:1" x14ac:dyDescent="0.25">
      <c r="A13" s="205" t="s">
        <v>331</v>
      </c>
    </row>
    <row r="14" spans="1:1" x14ac:dyDescent="0.25">
      <c r="A14" s="205" t="s">
        <v>413</v>
      </c>
    </row>
    <row r="15" spans="1:1" x14ac:dyDescent="0.25">
      <c r="A15" s="205" t="s">
        <v>414</v>
      </c>
    </row>
    <row r="16" spans="1:1" x14ac:dyDescent="0.25">
      <c r="A16" s="205" t="s">
        <v>415</v>
      </c>
    </row>
    <row r="17" spans="1:1" x14ac:dyDescent="0.25">
      <c r="A17" s="205" t="s">
        <v>416</v>
      </c>
    </row>
    <row r="18" spans="1:1" x14ac:dyDescent="0.25">
      <c r="A18" s="205" t="s">
        <v>246</v>
      </c>
    </row>
    <row r="19" spans="1:1" x14ac:dyDescent="0.25">
      <c r="A19" s="205" t="s">
        <v>332</v>
      </c>
    </row>
    <row r="20" spans="1:1" x14ac:dyDescent="0.25">
      <c r="A20" s="205" t="s">
        <v>333</v>
      </c>
    </row>
    <row r="21" spans="1:1" x14ac:dyDescent="0.25">
      <c r="A21" s="205" t="s">
        <v>307</v>
      </c>
    </row>
    <row r="22" spans="1:1" x14ac:dyDescent="0.25">
      <c r="A22" s="205" t="s">
        <v>213</v>
      </c>
    </row>
    <row r="23" spans="1:1" x14ac:dyDescent="0.25">
      <c r="A23" s="205" t="s">
        <v>326</v>
      </c>
    </row>
    <row r="24" spans="1:1" x14ac:dyDescent="0.25">
      <c r="A24" s="205" t="s">
        <v>516</v>
      </c>
    </row>
    <row r="25" spans="1:1" x14ac:dyDescent="0.25">
      <c r="A25" s="205" t="s">
        <v>523</v>
      </c>
    </row>
    <row r="26" spans="1:1" x14ac:dyDescent="0.25">
      <c r="A26" s="205" t="s">
        <v>329</v>
      </c>
    </row>
    <row r="27" spans="1:1" x14ac:dyDescent="0.25">
      <c r="A27" s="205" t="s">
        <v>330</v>
      </c>
    </row>
    <row r="28" spans="1:1" x14ac:dyDescent="0.25">
      <c r="A28" s="205" t="s">
        <v>421</v>
      </c>
    </row>
    <row r="29" spans="1:1" x14ac:dyDescent="0.25">
      <c r="A29" s="205" t="s">
        <v>422</v>
      </c>
    </row>
    <row r="30" spans="1:1" x14ac:dyDescent="0.25">
      <c r="A30" s="205" t="s">
        <v>423</v>
      </c>
    </row>
    <row r="31" spans="1:1" x14ac:dyDescent="0.25">
      <c r="A31" s="205" t="s">
        <v>424</v>
      </c>
    </row>
    <row r="32" spans="1:1" x14ac:dyDescent="0.25">
      <c r="A32" s="205" t="s">
        <v>246</v>
      </c>
    </row>
    <row r="33" spans="1:1" x14ac:dyDescent="0.25">
      <c r="A33" s="205" t="s">
        <v>331</v>
      </c>
    </row>
    <row r="34" spans="1:1" x14ac:dyDescent="0.25">
      <c r="A34" s="205" t="s">
        <v>413</v>
      </c>
    </row>
    <row r="35" spans="1:1" x14ac:dyDescent="0.25">
      <c r="A35" s="205" t="s">
        <v>414</v>
      </c>
    </row>
    <row r="36" spans="1:1" x14ac:dyDescent="0.25">
      <c r="A36" s="205" t="s">
        <v>415</v>
      </c>
    </row>
    <row r="37" spans="1:1" x14ac:dyDescent="0.25">
      <c r="A37" s="205" t="s">
        <v>416</v>
      </c>
    </row>
    <row r="38" spans="1:1" x14ac:dyDescent="0.25">
      <c r="A38" s="205" t="s">
        <v>246</v>
      </c>
    </row>
    <row r="39" spans="1:1" x14ac:dyDescent="0.25">
      <c r="A39" s="205" t="s">
        <v>332</v>
      </c>
    </row>
    <row r="40" spans="1:1" x14ac:dyDescent="0.25">
      <c r="A40" s="205" t="s">
        <v>333</v>
      </c>
    </row>
    <row r="41" spans="1:1" x14ac:dyDescent="0.25">
      <c r="A41" s="205" t="s">
        <v>307</v>
      </c>
    </row>
    <row r="42" spans="1:1" x14ac:dyDescent="0.25">
      <c r="A42" s="205" t="s">
        <v>213</v>
      </c>
    </row>
    <row r="43" spans="1:1" x14ac:dyDescent="0.25">
      <c r="A43" s="205" t="s">
        <v>326</v>
      </c>
    </row>
    <row r="44" spans="1:1" x14ac:dyDescent="0.25">
      <c r="A44" s="205" t="s">
        <v>517</v>
      </c>
    </row>
    <row r="45" spans="1:1" x14ac:dyDescent="0.25">
      <c r="A45" s="205" t="s">
        <v>524</v>
      </c>
    </row>
    <row r="46" spans="1:1" x14ac:dyDescent="0.25">
      <c r="A46" s="205" t="s">
        <v>329</v>
      </c>
    </row>
    <row r="47" spans="1:1" x14ac:dyDescent="0.25">
      <c r="A47" s="205" t="s">
        <v>330</v>
      </c>
    </row>
    <row r="48" spans="1:1" x14ac:dyDescent="0.25">
      <c r="A48" s="205" t="s">
        <v>425</v>
      </c>
    </row>
    <row r="49" spans="1:1" x14ac:dyDescent="0.25">
      <c r="A49" s="205" t="s">
        <v>426</v>
      </c>
    </row>
    <row r="50" spans="1:1" x14ac:dyDescent="0.25">
      <c r="A50" s="205" t="s">
        <v>427</v>
      </c>
    </row>
    <row r="51" spans="1:1" x14ac:dyDescent="0.25">
      <c r="A51" s="205" t="s">
        <v>428</v>
      </c>
    </row>
    <row r="52" spans="1:1" x14ac:dyDescent="0.25">
      <c r="A52" s="205" t="s">
        <v>246</v>
      </c>
    </row>
    <row r="53" spans="1:1" x14ac:dyDescent="0.25">
      <c r="A53" s="205" t="s">
        <v>331</v>
      </c>
    </row>
    <row r="54" spans="1:1" x14ac:dyDescent="0.25">
      <c r="A54" s="205" t="s">
        <v>334</v>
      </c>
    </row>
    <row r="55" spans="1:1" x14ac:dyDescent="0.25">
      <c r="A55" s="205" t="s">
        <v>334</v>
      </c>
    </row>
    <row r="56" spans="1:1" x14ac:dyDescent="0.25">
      <c r="A56" s="205" t="s">
        <v>334</v>
      </c>
    </row>
    <row r="57" spans="1:1" x14ac:dyDescent="0.25">
      <c r="A57" s="205" t="s">
        <v>429</v>
      </c>
    </row>
    <row r="58" spans="1:1" x14ac:dyDescent="0.25">
      <c r="A58" s="205" t="s">
        <v>246</v>
      </c>
    </row>
    <row r="59" spans="1:1" x14ac:dyDescent="0.25">
      <c r="A59" s="205" t="s">
        <v>332</v>
      </c>
    </row>
    <row r="60" spans="1:1" x14ac:dyDescent="0.25">
      <c r="A60" s="205" t="s">
        <v>333</v>
      </c>
    </row>
    <row r="61" spans="1:1" x14ac:dyDescent="0.25">
      <c r="A61" s="205" t="s">
        <v>307</v>
      </c>
    </row>
    <row r="62" spans="1:1" x14ac:dyDescent="0.25">
      <c r="A62" s="205" t="s">
        <v>213</v>
      </c>
    </row>
    <row r="63" spans="1:1" x14ac:dyDescent="0.25">
      <c r="A63" s="205" t="s">
        <v>326</v>
      </c>
    </row>
    <row r="64" spans="1:1" x14ac:dyDescent="0.25">
      <c r="A64" s="205" t="s">
        <v>518</v>
      </c>
    </row>
    <row r="65" spans="1:1" x14ac:dyDescent="0.25">
      <c r="A65" s="205" t="s">
        <v>525</v>
      </c>
    </row>
    <row r="66" spans="1:1" x14ac:dyDescent="0.25">
      <c r="A66" s="205" t="s">
        <v>329</v>
      </c>
    </row>
    <row r="67" spans="1:1" x14ac:dyDescent="0.25">
      <c r="A67" s="205" t="s">
        <v>330</v>
      </c>
    </row>
    <row r="68" spans="1:1" x14ac:dyDescent="0.25">
      <c r="A68" s="205" t="s">
        <v>430</v>
      </c>
    </row>
    <row r="69" spans="1:1" x14ac:dyDescent="0.25">
      <c r="A69" s="205" t="s">
        <v>431</v>
      </c>
    </row>
    <row r="70" spans="1:1" x14ac:dyDescent="0.25">
      <c r="A70" s="205" t="s">
        <v>432</v>
      </c>
    </row>
    <row r="71" spans="1:1" x14ac:dyDescent="0.25">
      <c r="A71" s="205" t="s">
        <v>433</v>
      </c>
    </row>
    <row r="72" spans="1:1" x14ac:dyDescent="0.25">
      <c r="A72" s="205" t="s">
        <v>246</v>
      </c>
    </row>
    <row r="73" spans="1:1" x14ac:dyDescent="0.25">
      <c r="A73" s="205" t="s">
        <v>331</v>
      </c>
    </row>
    <row r="74" spans="1:1" x14ac:dyDescent="0.25">
      <c r="A74" s="205" t="s">
        <v>334</v>
      </c>
    </row>
    <row r="75" spans="1:1" x14ac:dyDescent="0.25">
      <c r="A75" s="205" t="s">
        <v>334</v>
      </c>
    </row>
    <row r="76" spans="1:1" x14ac:dyDescent="0.25">
      <c r="A76" s="205" t="s">
        <v>334</v>
      </c>
    </row>
    <row r="77" spans="1:1" x14ac:dyDescent="0.25">
      <c r="A77" s="205" t="s">
        <v>429</v>
      </c>
    </row>
    <row r="78" spans="1:1" x14ac:dyDescent="0.25">
      <c r="A78" s="205" t="s">
        <v>246</v>
      </c>
    </row>
    <row r="79" spans="1:1" x14ac:dyDescent="0.25">
      <c r="A79" s="205" t="s">
        <v>332</v>
      </c>
    </row>
    <row r="80" spans="1:1" x14ac:dyDescent="0.25">
      <c r="A80" s="205" t="s">
        <v>333</v>
      </c>
    </row>
    <row r="81" spans="1:1" x14ac:dyDescent="0.25">
      <c r="A81" s="205" t="s">
        <v>307</v>
      </c>
    </row>
    <row r="82" spans="1:1" x14ac:dyDescent="0.25">
      <c r="A82" s="205" t="s">
        <v>213</v>
      </c>
    </row>
    <row r="83" spans="1:1" x14ac:dyDescent="0.25">
      <c r="A83" s="205" t="s">
        <v>326</v>
      </c>
    </row>
    <row r="84" spans="1:1" x14ac:dyDescent="0.25">
      <c r="A84" s="205" t="s">
        <v>519</v>
      </c>
    </row>
    <row r="85" spans="1:1" x14ac:dyDescent="0.25">
      <c r="A85" s="205" t="s">
        <v>526</v>
      </c>
    </row>
    <row r="86" spans="1:1" x14ac:dyDescent="0.25">
      <c r="A86" s="205" t="s">
        <v>329</v>
      </c>
    </row>
    <row r="87" spans="1:1" x14ac:dyDescent="0.25">
      <c r="A87" s="205" t="s">
        <v>330</v>
      </c>
    </row>
    <row r="88" spans="1:1" x14ac:dyDescent="0.25">
      <c r="A88" s="205" t="s">
        <v>434</v>
      </c>
    </row>
    <row r="89" spans="1:1" x14ac:dyDescent="0.25">
      <c r="A89" s="205" t="s">
        <v>435</v>
      </c>
    </row>
    <row r="90" spans="1:1" x14ac:dyDescent="0.25">
      <c r="A90" s="205" t="s">
        <v>436</v>
      </c>
    </row>
    <row r="91" spans="1:1" x14ac:dyDescent="0.25">
      <c r="A91" s="205" t="s">
        <v>437</v>
      </c>
    </row>
    <row r="92" spans="1:1" x14ac:dyDescent="0.25">
      <c r="A92" s="205" t="s">
        <v>246</v>
      </c>
    </row>
    <row r="93" spans="1:1" x14ac:dyDescent="0.25">
      <c r="A93" s="205" t="s">
        <v>331</v>
      </c>
    </row>
    <row r="94" spans="1:1" x14ac:dyDescent="0.25">
      <c r="A94" s="205" t="s">
        <v>334</v>
      </c>
    </row>
    <row r="95" spans="1:1" x14ac:dyDescent="0.25">
      <c r="A95" s="205" t="s">
        <v>334</v>
      </c>
    </row>
    <row r="96" spans="1:1" x14ac:dyDescent="0.25">
      <c r="A96" s="205" t="s">
        <v>334</v>
      </c>
    </row>
    <row r="97" spans="1:1" x14ac:dyDescent="0.25">
      <c r="A97" s="205" t="s">
        <v>429</v>
      </c>
    </row>
    <row r="98" spans="1:1" x14ac:dyDescent="0.25">
      <c r="A98" s="205" t="s">
        <v>246</v>
      </c>
    </row>
    <row r="99" spans="1:1" x14ac:dyDescent="0.25">
      <c r="A99" s="205" t="s">
        <v>332</v>
      </c>
    </row>
    <row r="100" spans="1:1" x14ac:dyDescent="0.25">
      <c r="A100" s="205" t="s">
        <v>333</v>
      </c>
    </row>
    <row r="101" spans="1:1" x14ac:dyDescent="0.25">
      <c r="A101" s="205" t="s">
        <v>307</v>
      </c>
    </row>
    <row r="102" spans="1:1" x14ac:dyDescent="0.25">
      <c r="A102" s="205" t="s">
        <v>213</v>
      </c>
    </row>
    <row r="103" spans="1:1" x14ac:dyDescent="0.25">
      <c r="A103" s="205" t="s">
        <v>326</v>
      </c>
    </row>
    <row r="104" spans="1:1" x14ac:dyDescent="0.25">
      <c r="A104" s="205" t="s">
        <v>520</v>
      </c>
    </row>
    <row r="105" spans="1:1" x14ac:dyDescent="0.25">
      <c r="A105" s="205" t="s">
        <v>527</v>
      </c>
    </row>
    <row r="106" spans="1:1" x14ac:dyDescent="0.25">
      <c r="A106" s="205" t="s">
        <v>329</v>
      </c>
    </row>
    <row r="107" spans="1:1" x14ac:dyDescent="0.25">
      <c r="A107" s="205" t="s">
        <v>330</v>
      </c>
    </row>
    <row r="108" spans="1:1" x14ac:dyDescent="0.25">
      <c r="A108" s="205" t="s">
        <v>439</v>
      </c>
    </row>
    <row r="109" spans="1:1" x14ac:dyDescent="0.25">
      <c r="A109" s="205" t="s">
        <v>440</v>
      </c>
    </row>
    <row r="110" spans="1:1" x14ac:dyDescent="0.25">
      <c r="A110" s="205" t="s">
        <v>438</v>
      </c>
    </row>
    <row r="111" spans="1:1" x14ac:dyDescent="0.25">
      <c r="A111" s="205" t="s">
        <v>441</v>
      </c>
    </row>
    <row r="112" spans="1:1" x14ac:dyDescent="0.25">
      <c r="A112" s="205" t="s">
        <v>246</v>
      </c>
    </row>
    <row r="113" spans="1:1" x14ac:dyDescent="0.25">
      <c r="A113" s="205" t="s">
        <v>331</v>
      </c>
    </row>
    <row r="114" spans="1:1" x14ac:dyDescent="0.25">
      <c r="A114" s="205" t="s">
        <v>334</v>
      </c>
    </row>
    <row r="115" spans="1:1" x14ac:dyDescent="0.25">
      <c r="A115" s="205" t="s">
        <v>334</v>
      </c>
    </row>
    <row r="116" spans="1:1" x14ac:dyDescent="0.25">
      <c r="A116" s="205" t="s">
        <v>334</v>
      </c>
    </row>
    <row r="117" spans="1:1" x14ac:dyDescent="0.25">
      <c r="A117" s="205" t="s">
        <v>429</v>
      </c>
    </row>
    <row r="118" spans="1:1" x14ac:dyDescent="0.25">
      <c r="A118" s="205" t="s">
        <v>246</v>
      </c>
    </row>
    <row r="119" spans="1:1" x14ac:dyDescent="0.25">
      <c r="A119" s="205" t="s">
        <v>332</v>
      </c>
    </row>
    <row r="120" spans="1:1" x14ac:dyDescent="0.25">
      <c r="A120" s="205" t="s">
        <v>333</v>
      </c>
    </row>
    <row r="121" spans="1:1" x14ac:dyDescent="0.25">
      <c r="A121" s="205" t="s">
        <v>307</v>
      </c>
    </row>
    <row r="122" spans="1:1" x14ac:dyDescent="0.25">
      <c r="A122" s="205" t="s">
        <v>290</v>
      </c>
    </row>
    <row r="123" spans="1:1" x14ac:dyDescent="0.25">
      <c r="A123" s="205" t="s">
        <v>327</v>
      </c>
    </row>
    <row r="124" spans="1:1" x14ac:dyDescent="0.25">
      <c r="A124" s="205" t="s">
        <v>322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205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2022-01-21T19:53:12Z</dcterms:modified>
</cp:coreProperties>
</file>