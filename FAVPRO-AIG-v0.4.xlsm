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AIG_FAVOR" defaultThemeVersion="124226"/>
  <xr:revisionPtr revIDLastSave="46702" documentId="13_ncr:1_{1885E4E0-6EB4-4CC1-B999-536985F227D3}" xr6:coauthVersionLast="47" xr6:coauthVersionMax="47" xr10:uidLastSave="{791E3092-1984-4FBC-9B3A-2315B07F6142}"/>
  <bookViews>
    <workbookView xWindow="-120" yWindow="-120" windowWidth="29040" windowHeight="15990" xr2:uid="{D6318B3A-533D-4B5A-85FB-AD1DFFC88023}"/>
  </bookViews>
  <sheets>
    <sheet name="0-Input Setup" sheetId="5" r:id="rId1"/>
    <sheet name="1.1-FAVLoad Parameters" sheetId="1" r:id="rId2"/>
    <sheet name="1.2-FAVLoad Materials" sheetId="3" r:id="rId3"/>
    <sheet name="1.3-FAVLoad Transients" sheetId="4" r:id="rId4"/>
    <sheet name="1.4-FAVLoad Input" sheetId="2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" i="4" l="1"/>
  <c r="P5" i="4"/>
  <c r="N5" i="4"/>
  <c r="M4" i="4"/>
  <c r="P11" i="10"/>
  <c r="N11" i="10"/>
  <c r="L11" i="10"/>
  <c r="J11" i="10"/>
  <c r="I10" i="10"/>
  <c r="K10" i="10" s="1"/>
  <c r="M10" i="10" s="1"/>
  <c r="O10" i="10" s="1"/>
  <c r="H11" i="10"/>
  <c r="G10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13" i="1" a="1"/>
  <c r="E14" i="1" a="1"/>
  <c r="O3" i="3" a="1"/>
  <c r="E15" i="1" a="1"/>
  <c r="E3" i="3" a="1"/>
  <c r="E41" i="1" a="1"/>
  <c r="E18" i="1" a="1"/>
  <c r="E40" i="1" a="1"/>
  <c r="E17" i="1" a="1"/>
  <c r="E16" i="1" a="1"/>
  <c r="E32" i="1" a="1"/>
  <c r="E24" i="1" a="1"/>
  <c r="E9" i="1" a="1"/>
  <c r="E28" i="1" a="1"/>
  <c r="E8" i="1" a="1"/>
  <c r="E26" i="1" a="1"/>
  <c r="E7" i="1" a="1"/>
  <c r="E29" i="1" a="1"/>
  <c r="E25" i="1" a="1"/>
  <c r="E19" i="1" a="1"/>
  <c r="E23" i="1" a="1"/>
  <c r="E27" i="1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E18" i="7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4" i="4"/>
  <c r="E43" i="7" a="1"/>
  <c r="E49" i="7" a="1"/>
  <c r="E27" i="7" a="1"/>
  <c r="E47" i="7" a="1"/>
  <c r="E12" i="7" a="1"/>
  <c r="E48" i="7" a="1"/>
  <c r="E31" i="7" a="1"/>
  <c r="E26" i="7" a="1"/>
  <c r="E44" i="7" a="1"/>
  <c r="E32" i="7" a="1"/>
  <c r="E39" i="7" a="1"/>
  <c r="E42" i="7" a="1"/>
  <c r="E35" i="7" a="1"/>
  <c r="E38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N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<sst xmlns="http://schemas.openxmlformats.org/spreadsheetml/2006/main" count="1670" uniqueCount="974">
  <si>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</si>
  <si>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</si>
  <si>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</si>
  <si>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</si>
  <si>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</si>
  <si>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</si>
  <si>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</si>
  <si>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</si>
  <si>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</si>
  <si>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</si>
  <si>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</si>
  <si>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</si>
  <si>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</si>
  <si>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</si>
  <si>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</si>
  <si>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</si>
  <si>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</si>
  <si>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</si>
  <si>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</si>
  <si>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</si>
  <si>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</si>
  <si>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</si>
  <si>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</si>
  <si>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</si>
  <si>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</si>
  <si>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</si>
  <si>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</si>
  <si>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</si>
  <si>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</si>
  <si>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</si>
  <si>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</si>
  <si>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</si>
  <si>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</si>
  <si>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</si>
  <si>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</si>
  <si>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</si>
  <si>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</si>
  <si>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</si>
  <si>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</si>
  <si>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</si>
  <si>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</si>
  <si>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</si>
  <si>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</si>
  <si>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</si>
  <si>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</si>
  <si>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</si>
  <si>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</si>
  <si>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</si>
  <si>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</si>
  <si>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</si>
  <si>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</si>
  <si>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</si>
  <si>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</si>
  <si>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</si>
  <si>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</si>
  <si>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</si>
  <si>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</si>
  <si>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</si>
  <si>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</si>
  <si>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</si>
  <si>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</si>
  <si>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</si>
  <si>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</si>
  <si>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</si>
  <si>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</si>
  <si>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</si>
  <si>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</si>
  <si>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</si>
  <si>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</si>
  <si>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</si>
  <si>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</si>
  <si>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</si>
  <si>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</si>
  <si>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</si>
  <si>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</si>
  <si>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</si>
  <si>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</si>
  <si>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</si>
  <si>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</si>
  <si>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</si>
  <si>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</si>
  <si>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</si>
  <si>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</si>
  <si>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</si>
  <si>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</si>
  <si>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</si>
  <si>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</si>
  <si>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</si>
  <si>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</si>
  <si>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</si>
  <si>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</si>
  <si>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</si>
  <si>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</si>
  <si>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</si>
  <si>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</si>
  <si>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</si>
  <si>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</si>
  <si>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</si>
  <si>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</si>
  <si>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</si>
  <si>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</si>
  <si>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</si>
  <si>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</si>
  <si>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</si>
  <si>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</si>
  <si>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</si>
  <si>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</si>
  <si>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</si>
  <si>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</si>
  <si>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</si>
  <si>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</si>
  <si>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</si>
  <si>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</si>
  <si>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</si>
  <si>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</si>
  <si>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</si>
  <si>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</si>
  <si>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</si>
  <si>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</si>
  <si>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</si>
  <si>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</si>
  <si>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</si>
  <si>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</si>
  <si>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</si>
  <si>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</si>
  <si>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</si>
  <si>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</si>
  <si>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</si>
  <si>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</si>
  <si>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</si>
  <si>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</si>
  <si>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</si>
  <si>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</si>
  <si>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</si>
  <si>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</si>
  <si>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</si>
  <si>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</si>
  <si>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</si>
  <si>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</si>
  <si>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</si>
  <si>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</si>
  <si>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</si>
  <si>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</si>
  <si>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</si>
  <si>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</si>
  <si>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</si>
  <si>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</si>
  <si>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</si>
  <si>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</si>
  <si>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</si>
  <si>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</si>
  <si>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</si>
  <si>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</si>
  <si>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</si>
  <si>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</si>
  <si>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</si>
  <si>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</si>
  <si>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</si>
  <si>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</si>
  <si>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</si>
  <si>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</si>
  <si>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</si>
  <si>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</si>
  <si>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</si>
  <si>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</si>
  <si>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</si>
  <si>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</si>
  <si>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</si>
  <si>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</si>
  <si>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</si>
  <si>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</si>
  <si>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</si>
  <si>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</si>
  <si>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</si>
  <si>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</si>
  <si>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</si>
  <si>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</si>
  <si>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</si>
  <si>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</si>
  <si>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</si>
  <si>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</si>
  <si>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</si>
  <si>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</si>
  <si>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</si>
  <si>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</si>
  <si>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</si>
  <si>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</si>
  <si>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</si>
  <si>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</si>
  <si>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</si>
  <si>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</si>
  <si>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</si>
  <si>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</si>
  <si>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</si>
  <si>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</si>
  <si>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</si>
  <si>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</si>
  <si>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</si>
  <si>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</si>
  <si>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</si>
  <si>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</si>
  <si>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</si>
  <si>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</si>
  <si>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</si>
  <si>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</si>
  <si>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</si>
  <si>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"clad thckness" :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</si>
  <si>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</si>
  <si>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</si>
  <si>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</si>
  <si>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</si>
  <si>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</si>
  <si>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</si>
  <si>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</si>
  <si>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BTU/(hr ft F)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</si>
  <si>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</si>
  <si>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</si>
  <si>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</si>
  <si>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</si>
  <si>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</si>
  <si>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</si>
  <si>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</si>
  <si>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</si>
  <si>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</si>
  <si>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</si>
  <si>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</si>
  <si>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</si>
  <si>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</si>
  <si>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</si>
  <si>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</si>
  <si>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</si>
  <si>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</si>
  <si>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</si>
  <si>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</si>
  <si>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</si>
  <si>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</si>
  <si>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</si>
  <si>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</si>
  <si>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</si>
  <si>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</si>
  <si>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},</t>
  </si>
  <si>
    <t xml:space="preserve">        "T units" : "F"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</si>
  <si>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</si>
  <si>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</si>
  <si>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</si>
  <si>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</si>
  <si>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</si>
  <si>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</si>
  <si>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</si>
  <si>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</si>
  <si>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</si>
  <si>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</si>
  <si>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</si>
  <si>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</si>
  <si>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</si>
  <si>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</si>
  <si>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</si>
  <si>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</si>
  <si>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</si>
  <si>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</si>
  <si>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</si>
  <si>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</si>
  <si>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</si>
  <si>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</si>
  <si>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</si>
  <si>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</si>
  <si>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</si>
  <si>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</si>
  <si>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</si>
  <si>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</si>
  <si>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"clad thckness" :"0.25 in"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</si>
  <si>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</si>
  <si>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</si>
  <si>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</si>
  <si>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</si>
  <si>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</si>
  <si>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</si>
  <si>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</si>
  <si>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</si>
  <si>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</si>
  <si>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</si>
  <si>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</si>
  <si>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ID and OD Surface + Embedded Throughout Thickness</t>
  </si>
  <si>
    <t>off</t>
  </si>
  <si>
    <t>ksi in^1/2</t>
  </si>
  <si>
    <t>Time history</t>
  </si>
  <si>
    <t>Axial</t>
  </si>
  <si>
    <t>ft lb</t>
  </si>
  <si>
    <t>dK/dt&gt;0 and KI&gt;KImax (default)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</si>
  <si>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</si>
  <si>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</si>
  <si>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</si>
  <si>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</si>
  <si>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</si>
  <si>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</si>
  <si>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</si>
  <si>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</si>
  <si>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</si>
  <si>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</si>
  <si>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</si>
  <si>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</si>
  <si>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</si>
  <si>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</si>
  <si>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</si>
  <si>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</si>
  <si>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</si>
  <si>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</si>
  <si>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</si>
  <si>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</si>
  <si>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</si>
  <si>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</si>
  <si>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</si>
  <si>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</si>
  <si>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</si>
  <si>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</si>
  <si>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</si>
  <si>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</si>
  <si>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</si>
  <si>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</si>
  <si>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</si>
  <si>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</si>
  <si>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"probabilistic simulation"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</si>
  <si>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</si>
  <si>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</si>
  <si>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</si>
  <si>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</si>
  <si>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</si>
  <si>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</si>
  <si>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</si>
  <si>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>Yes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</si>
  <si>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</si>
  <si>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</si>
  <si>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</si>
  <si>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</si>
  <si>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</si>
  <si>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</si>
  <si>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</si>
  <si>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</si>
  <si>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"flaw population" : 3,</t>
  </si>
  <si>
    <t xml:space="preserve">      "initiation growth arrest trials" : 100,</t>
  </si>
  <si>
    <t xml:space="preserve">      "warm prestress" : 1,</t>
  </si>
  <si>
    <t xml:space="preserve">      "child subregion reports" : false,</t>
  </si>
  <si>
    <t xml:space="preserve">      "normal coolant temperature" : "525.0 F",</t>
  </si>
  <si>
    <t xml:space="preserve">      "plant operating time" : 60.0,</t>
  </si>
  <si>
    <t xml:space="preserve">      "ductile tearing model" : false,</t>
  </si>
  <si>
    <t xml:space="preserve">      "ductile tearing checks" : false,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</si>
  <si>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</si>
  <si>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</si>
  <si>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</si>
  <si>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"resampling" : true,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</si>
  <si>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</si>
  <si>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</si>
  <si>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</si>
  <si>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</si>
  <si>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</si>
  <si>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</si>
  <si>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</si>
  <si>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</si>
  <si>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</si>
  <si>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</si>
  <si>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</si>
  <si>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</si>
  <si>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</si>
  <si>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</si>
  <si>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"fluence" : 2.9625,</t>
  </si>
  <si>
    <t xml:space="preserve">        "Cu" : 0.213,</t>
  </si>
  <si>
    <t xml:space="preserve">        "Ni" : 1.01,</t>
  </si>
  <si>
    <t xml:space="preserve">        "P" : 0.019,</t>
  </si>
  <si>
    <t xml:space="preserve">        "Mn" : 1.0,</t>
  </si>
  <si>
    <t xml:space="preserve">        "DT30 shift" : 1,</t>
  </si>
  <si>
    <t xml:space="preserve">        "rtndt0" : "-56.0 F",</t>
  </si>
  <si>
    <t xml:space="preserve">        "sig rtndt0" : "17.0 F",</t>
  </si>
  <si>
    <t xml:space="preserve">        "irad shift" : 11,</t>
  </si>
  <si>
    <t xml:space="preserve">        "angle" : "0.958 deg",</t>
  </si>
  <si>
    <t xml:space="preserve">        "height" : "60.71 in",</t>
  </si>
  <si>
    <t xml:space="preserve">        "fusion area" : "516.0 in^2",</t>
  </si>
  <si>
    <t xml:space="preserve">        "orientation" : 1,</t>
  </si>
  <si>
    <t xml:space="preserve">        "CF override" : 0.0,</t>
  </si>
  <si>
    <t xml:space="preserve">        "upper shelf energy" : "0.0 ft lb"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</si>
  <si>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</si>
  <si>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</si>
  <si>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</si>
  <si>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</si>
  <si>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"fluence" : 3.8089,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</si>
  <si>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</si>
  <si>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</si>
  <si>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</si>
  <si>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</si>
  <si>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</si>
  <si>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</si>
  <si>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</si>
  <si>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</si>
  <si>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"fluence" : 3.8554,</t>
  </si>
  <si>
    <t xml:space="preserve">        "angle" : "1.158 deg",</t>
  </si>
  <si>
    <t xml:space="preserve">        "height" : "93.98 in",</t>
  </si>
  <si>
    <t xml:space="preserve">        "fusion area" : "799.0 in^2",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</si>
  <si>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</si>
  <si>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</si>
  <si>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</si>
  <si>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</si>
  <si>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"fluence" : 2.9892,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</si>
  <si>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</si>
  <si>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</si>
  <si>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</si>
  <si>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</si>
  <si>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</si>
  <si>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</si>
  <si>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"fluence" : 4.8502,</t>
  </si>
  <si>
    <t xml:space="preserve">        "Cu" : 0.203,</t>
  </si>
  <si>
    <t xml:space="preserve">        "Ni" : 1.018,</t>
  </si>
  <si>
    <t xml:space="preserve">        "P" : 0.013,</t>
  </si>
  <si>
    <t xml:space="preserve">        "DT30 shift" : 2,</t>
  </si>
  <si>
    <t xml:space="preserve">        "angle" : "360.0 deg",</t>
  </si>
  <si>
    <t xml:space="preserve">        "height" : "1.31 in",</t>
  </si>
  <si>
    <t xml:space="preserve">        "fusion area" : "4833.0 in^2",</t>
  </si>
  <si>
    <t xml:space="preserve">        "orientation" : 2,</t>
  </si>
  <si>
    <t xml:space="preserve">        "id" : 8,</t>
  </si>
  <si>
    <t xml:space="preserve">        "major region" : 8,</t>
  </si>
  <si>
    <t xml:space="preserve">        "fluence" : 4.8456,</t>
  </si>
  <si>
    <t xml:space="preserve">        "Cu" : 0.19,</t>
  </si>
  <si>
    <t xml:space="preserve">        "Ni" : 0.48,</t>
  </si>
  <si>
    <t xml:space="preserve">        "P" : 0.016,</t>
  </si>
  <si>
    <t xml:space="preserve">        "Cu sat" : 0,</t>
  </si>
  <si>
    <t xml:space="preserve">        "rtndt0" : "0.0 F",</t>
  </si>
  <si>
    <t xml:space="preserve">        "irad shift" : 21,</t>
  </si>
  <si>
    <t xml:space="preserve">        "angle" : "119.0 deg",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</si>
  <si>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</si>
  <si>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</si>
  <si>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</si>
  <si>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</si>
  <si>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"Ni" : 0.5,</t>
  </si>
  <si>
    <t xml:space="preserve">        "P" : 0.015,</t>
  </si>
  <si>
    <t xml:space="preserve">        "rtndt0" : "-30.0 F",</t>
  </si>
  <si>
    <t xml:space="preserve">        "id" : 10,</t>
  </si>
  <si>
    <t xml:space="preserve">        "major region" : 10,</t>
  </si>
  <si>
    <t xml:space="preserve">        "Cu" : 0.12,</t>
  </si>
  <si>
    <t xml:space="preserve">        "Ni" : 0.55,</t>
  </si>
  <si>
    <t xml:space="preserve">        "P" : 0.01,</t>
  </si>
  <si>
    <t xml:space="preserve">        "rtndt0" : "-25.0 F",</t>
  </si>
  <si>
    <t xml:space="preserve">        "id" : 11,</t>
  </si>
  <si>
    <t xml:space="preserve">        "major region" : 11,</t>
  </si>
  <si>
    <t xml:space="preserve">        "fluence" : 4.9015,</t>
  </si>
  <si>
    <t xml:space="preserve">        "Cu" : 0.24,</t>
  </si>
  <si>
    <t xml:space="preserve">        "Ni" : 0.51,</t>
  </si>
  <si>
    <t xml:space="preserve">        "P" : 0.009,</t>
  </si>
  <si>
    <t xml:space="preserve">        "rtndt0" : "-5.0 F",</t>
  </si>
  <si>
    <t xml:space="preserve">        "angle" : "118.8 deg",</t>
  </si>
  <si>
    <t xml:space="preserve">        "id" : 12,</t>
  </si>
  <si>
    <t xml:space="preserve">        "major region" : 12,</t>
  </si>
  <si>
    <t xml:space="preserve">        "Ni" : 0.52,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</si>
  <si>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</si>
  <si>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</si>
  <si>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</si>
  <si>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</si>
  <si>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</si>
  <si>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</si>
  <si>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OD</t>
  </si>
  <si>
    <t>High-constraint KIa model based on CCA specimens</t>
  </si>
  <si>
    <t xml:space="preserve">      "arrest model" : 1,</t>
  </si>
  <si>
    <t>PFM_test_ver_19</t>
  </si>
  <si>
    <t>Combined Kirk/Radamo 2007</t>
  </si>
  <si>
    <t xml:space="preserve">      "embrittlement model" : 20073,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</si>
  <si>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</si>
  <si>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</si>
  <si>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</si>
  <si>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</si>
  <si>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</si>
  <si>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</si>
  <si>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</si>
  <si>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</si>
  <si>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</si>
  <si>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</si>
  <si>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</si>
  <si>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</si>
  <si>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</si>
  <si>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</si>
  <si>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</si>
  <si>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</si>
  <si>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</si>
  <si>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</si>
  <si>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</si>
  <si>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</si>
  <si>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</si>
  <si>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</si>
  <si>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</si>
  <si>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</si>
  <si>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</si>
  <si>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</si>
  <si>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</si>
  <si>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</si>
  <si>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</si>
  <si>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</si>
  <si>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</si>
  <si>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</si>
  <si>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</si>
  <si>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</si>
  <si>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</si>
  <si>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</si>
  <si>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</si>
  <si>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</si>
  <si>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</si>
  <si>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</si>
  <si>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</si>
  <si>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</si>
  <si>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</si>
  <si>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</si>
  <si>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</si>
  <si>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</si>
  <si>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</si>
  <si>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</si>
  <si>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</si>
  <si>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</si>
  <si>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</si>
  <si>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</si>
  <si>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</si>
  <si>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</si>
  <si>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</si>
  <si>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</si>
  <si>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</si>
  <si>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</si>
  <si>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</si>
  <si>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</si>
  <si>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</si>
  <si>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</si>
  <si>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</si>
  <si>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</si>
  <si>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</si>
  <si>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</si>
  <si>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</si>
  <si>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</si>
  <si>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</si>
  <si>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</si>
  <si>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</si>
  <si>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</si>
  <si>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</si>
  <si>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</si>
  <si>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</si>
  <si>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</si>
  <si>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</si>
  <si>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</si>
  <si>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</si>
  <si>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</si>
  <si>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</si>
  <si>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</si>
  <si>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</si>
  <si>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</si>
  <si>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</si>
  <si>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</si>
  <si>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</si>
  <si>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</si>
  <si>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</si>
  <si>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</si>
  <si>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</si>
  <si>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</si>
  <si>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</si>
  <si>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</si>
  <si>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</si>
  <si>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</si>
  <si>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</si>
  <si>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</si>
  <si>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</si>
  <si>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</si>
  <si>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</si>
  <si>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</si>
  <si>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</si>
  <si>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</si>
  <si>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</si>
  <si>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</si>
  <si>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</si>
  <si>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</si>
  <si>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</si>
  <si>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</si>
  <si>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</si>
  <si>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</si>
  <si>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</si>
  <si>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</si>
  <si>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</si>
  <si>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</si>
  <si>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</si>
  <si>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</si>
  <si>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</si>
  <si>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</si>
  <si>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</si>
  <si>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</si>
  <si>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</si>
  <si>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</si>
  <si>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</si>
  <si>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</si>
  <si>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</si>
  <si>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</si>
  <si>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</si>
  <si>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</si>
  <si>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</si>
  <si>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</si>
  <si>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</si>
  <si>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</si>
  <si>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</si>
  <si>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</si>
  <si>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</si>
  <si>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</si>
  <si>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</si>
  <si>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</si>
  <si>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</si>
  <si>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</si>
  <si>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</si>
  <si>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</si>
  <si>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</si>
  <si>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</si>
  <si>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</si>
  <si>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</si>
  <si>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</si>
  <si>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</si>
  <si>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</si>
  <si>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</si>
  <si>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</si>
  <si>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</si>
  <si>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</si>
  <si>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</si>
  <si>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</si>
  <si>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</si>
  <si>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</si>
  <si>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</si>
  <si>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</si>
  <si>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</si>
  <si>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</si>
  <si>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</si>
  <si>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</si>
  <si>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</si>
  <si>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</si>
  <si>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</si>
  <si>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</si>
  <si>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</si>
  <si>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</si>
  <si>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</si>
  <si>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</si>
  <si>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</si>
  <si>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</si>
  <si>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</si>
  <si>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</si>
  <si>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</si>
  <si>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</si>
  <si>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</si>
  <si>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</si>
  <si>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</si>
  <si>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</si>
  <si>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</si>
  <si>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</si>
  <si>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</si>
  <si>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</si>
  <si>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</si>
  <si>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</si>
  <si>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</si>
  <si>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</si>
  <si>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</si>
  <si>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</si>
  <si>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</si>
  <si>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</si>
  <si>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</si>
  <si>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</si>
  <si>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</si>
  <si>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</si>
  <si>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</si>
  <si>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</si>
  <si>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</si>
  <si>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</si>
  <si>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</si>
  <si>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</si>
  <si>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</si>
  <si>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</si>
  <si>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</si>
  <si>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</si>
  <si>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</si>
  <si>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</si>
  <si>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</si>
  <si>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</si>
  <si>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</si>
  <si>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</si>
  <si>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</si>
  <si>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</si>
  <si>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</si>
  <si>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</si>
  <si>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</si>
  <si>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</si>
  <si>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</si>
  <si>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</si>
  <si>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</si>
  <si>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</si>
  <si>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</si>
  <si>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</si>
  <si>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</si>
  <si>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</si>
  <si>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</si>
  <si>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</si>
  <si>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</si>
  <si>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</si>
  <si>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</si>
  <si>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</si>
  <si>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</si>
  <si>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</si>
  <si>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</si>
  <si>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</si>
  <si>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</si>
  <si>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</si>
  <si>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</si>
  <si>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</si>
  <si>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</si>
  <si>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</si>
  <si>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</si>
  <si>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</si>
  <si>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</si>
  <si>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</si>
  <si>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</si>
  <si>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</si>
  <si>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</si>
  <si>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</si>
  <si>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</si>
  <si>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</si>
  <si>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</si>
  <si>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</si>
  <si>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</si>
  <si>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</si>
  <si>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</si>
  <si>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</si>
  <si>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</si>
  <si>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</si>
  <si>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</si>
  <si>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</si>
  <si>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</si>
  <si>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</si>
  <si>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</si>
  <si>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</si>
  <si>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</si>
  <si>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</si>
  <si>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</si>
  <si>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</si>
  <si>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</si>
  <si>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</si>
  <si>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</si>
  <si>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</si>
  <si>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</si>
  <si>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</si>
  <si>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</si>
  <si>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</si>
  <si>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</si>
  <si>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</si>
  <si>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</si>
  <si>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</si>
  <si>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</si>
  <si>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</si>
  <si>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</si>
  <si>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</si>
  <si>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</si>
  <si>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</si>
  <si>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</si>
  <si>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</si>
  <si>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</si>
  <si>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</si>
  <si>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</si>
  <si>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</si>
  <si>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</si>
  <si>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</si>
  <si>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</si>
  <si>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</si>
  <si>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</si>
  <si>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</si>
  <si>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</si>
  <si>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</si>
  <si>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"stress-free temperature" : "488.0 ",</t>
  </si>
  <si>
    <t>C:\Users\patri\OneDrive\Documents\GitHub\FAVPRO\tests\integration\inputs\load\ver_9.in</t>
  </si>
  <si>
    <t xml:space="preserve">      "temperature dependent" : false,</t>
  </si>
  <si>
    <t xml:space="preserve">      "thermal conductivity" : "24.0 BTU/(hr ft F)",</t>
  </si>
  <si>
    <t xml:space="preserve">      "young's elastic modulus" : "28000.0 ksi",</t>
  </si>
  <si>
    <t xml:space="preserve">      "thermal expansion coefficient" : "0.00000777 1/F",</t>
  </si>
  <si>
    <t xml:space="preserve">      "poisson's ratio" : 0.3</t>
  </si>
  <si>
    <t xml:space="preserve">    "axial residual stresses in weld" : false,</t>
  </si>
  <si>
    <t xml:space="preserve">    "dt" : "1.0 m",</t>
  </si>
  <si>
    <t xml:space="preserve">            10000.0, 10000.0</t>
  </si>
  <si>
    <t xml:space="preserve">        "pfm transient number" : 2,</t>
  </si>
  <si>
    <t xml:space="preserve">      "thermal conductivity" : "10.0 BTU/(hr ft F)",</t>
  </si>
  <si>
    <t xml:space="preserve">    "circumferential residual stresses in weld" : false</t>
  </si>
  <si>
    <t xml:space="preserve">    "total time" : "600.0 m",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</si>
  <si>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</si>
  <si>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</si>
  <si>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</si>
  <si>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</si>
  <si>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</si>
  <si>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</si>
  <si>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</si>
  <si>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</si>
  <si>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</si>
  <si>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</si>
  <si>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</si>
  <si>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</si>
  <si>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</si>
  <si>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</si>
  <si>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</si>
  <si>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</si>
  <si>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</si>
  <si>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</si>
  <si>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</si>
  <si>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</si>
  <si>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</si>
  <si>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</si>
  <si>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</si>
  <si>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</si>
  <si>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</si>
  <si>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</si>
  <si>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</si>
  <si>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</si>
  <si>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</si>
  <si>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</si>
  <si>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</si>
  <si>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</si>
  <si>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</si>
  <si>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</si>
  <si>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</si>
  <si>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</si>
  <si>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</si>
  <si>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</si>
  <si>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</si>
  <si>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</si>
  <si>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</si>
  <si>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</si>
  <si>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</si>
  <si>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</si>
  <si>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</si>
  <si>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</si>
  <si>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</si>
  <si>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</si>
  <si>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</si>
  <si>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</si>
  <si>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</si>
  <si>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</si>
  <si>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</si>
  <si>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</si>
  <si>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</si>
  <si>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</si>
  <si>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</si>
  <si>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</si>
  <si>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</si>
  <si>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</si>
  <si>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>ver_9</t>
  </si>
  <si>
    <t xml:space="preserve">        "thermal-hydraulic sequence number" : 11,</t>
  </si>
  <si>
    <t xml:space="preserve">            0.0, 600.0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</si>
  <si>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</si>
  <si>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</si>
  <si>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</si>
  <si>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</si>
  <si>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</si>
  <si>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</si>
  <si>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</si>
  <si>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</si>
  <si>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</si>
  <si>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</si>
  <si>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</si>
  <si>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</si>
  <si>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</si>
  <si>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</si>
  <si>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</si>
  <si>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</si>
  <si>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</si>
  <si>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</si>
  <si>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</si>
  <si>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</si>
  <si>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</si>
  <si>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</si>
  <si>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</si>
  <si>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</si>
  <si>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</si>
  <si>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</si>
  <si>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</si>
  <si>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</si>
  <si>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</si>
  <si>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</si>
  <si>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</si>
  <si>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</si>
  <si>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</si>
  <si>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</si>
  <si>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</si>
  <si>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</si>
  <si>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</si>
  <si>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</si>
  <si>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</si>
  <si>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</si>
  <si>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</si>
  <si>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</si>
  <si>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</si>
  <si>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</si>
  <si>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</si>
  <si>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</si>
  <si>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</si>
  <si>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</si>
  <si>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</si>
  <si>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</si>
  <si>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</si>
  <si>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</si>
  <si>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</si>
  <si>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</si>
  <si>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</si>
  <si>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</si>
  <si>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</si>
  <si>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</si>
  <si>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</si>
  <si>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</si>
  <si>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</si>
  <si>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</si>
  <si>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</si>
  <si>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</si>
  <si>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</si>
  <si>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</si>
  <si>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</si>
  <si>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</si>
  <si>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</si>
  <si>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</si>
  <si>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</si>
  <si>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</si>
  <si>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</si>
  <si>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</si>
  <si>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</si>
  <si>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</si>
  <si>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</si>
  <si>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</si>
  <si>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</si>
  <si>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</si>
  <si>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</si>
  <si>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</si>
  <si>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</si>
  <si>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</si>
  <si>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</si>
  <si>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</si>
  <si>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</si>
  <si>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</si>
  <si>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</si>
  <si>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</si>
  <si>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</si>
  <si>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</si>
  <si>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</si>
  <si>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</si>
  <si>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</si>
  <si>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</si>
  <si>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</si>
  <si>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</si>
  <si>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</si>
  <si>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</si>
  <si>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</si>
  <si>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</si>
  <si>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</si>
  <si>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</si>
  <si>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</si>
  <si>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</si>
  <si>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</si>
  <si>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</si>
  <si>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</si>
  <si>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</si>
  <si>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</si>
  <si>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</si>
  <si>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</si>
  <si>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</si>
  <si>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</si>
  <si>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</si>
  <si>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</si>
  <si>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</si>
  <si>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</si>
  <si>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</si>
  <si>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</si>
  <si>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</si>
  <si>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  "thermal-hydraulic sequence number" : 22,</t>
  </si>
  <si>
    <t xml:space="preserve">            248.67, 249.0, 249.33, 249.5, 250.0, </t>
  </si>
  <si>
    <t xml:space="preserve">            0.046</t>
  </si>
  <si>
    <t xml:space="preserve">          "initial coolant temperature" : "544.8 F",</t>
  </si>
  <si>
    <t xml:space="preserve">          "lowest transient temperature" : "50.4 F",</t>
  </si>
  <si>
    <t xml:space="preserve">          "decay constant" : 0.025</t>
  </si>
  <si>
    <t xml:space="preserve">            0.0, 554.4, 600.0</t>
  </si>
  <si>
    <t xml:space="preserve">            532.0, 70.0, 70.0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</si>
</sst>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3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768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329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7" t="s">
        <v>108</v>
      </c>
      <c r="B18" s="207"/>
      <c r="C18" s="207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2" t="s">
        <v>30</v>
      </c>
      <c r="B21" s="212"/>
      <c r="C21" s="212"/>
    </row>
    <row r="22" spans="1:3" x14ac:dyDescent="0.25">
      <c r="A22" s="211" t="s">
        <v>32</v>
      </c>
      <c r="B22" s="211"/>
      <c r="C22" s="211"/>
    </row>
    <row r="23" spans="1:3" x14ac:dyDescent="0.25">
      <c r="A23" s="210" t="s">
        <v>31</v>
      </c>
      <c r="B23" s="210"/>
      <c r="C23" s="210"/>
    </row>
    <row r="24" spans="1:3" x14ac:dyDescent="0.25">
      <c r="A24" s="209" t="s">
        <v>192</v>
      </c>
      <c r="B24" s="209"/>
      <c r="C24" s="209"/>
    </row>
    <row r="25" spans="1:3" x14ac:dyDescent="0.25">
      <c r="A25" s="208" t="s">
        <v>52</v>
      </c>
      <c r="B25" s="208"/>
      <c r="C25" s="208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841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206</v>
      </c>
      <c r="B9" s="196">
        <v>0.25</v>
      </c>
      <c r="C9" s="23" t="s">
        <v>33</v>
      </c>
      <c r="E9" s="159" t="str" cm="1">
        <f t="array" ref="E9">A9&amp;"""" &amp;real(B9)&amp;" "&amp;C9&amp;""""</f>
        <v>"clad thckness"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211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232</v>
      </c>
      <c r="B13" s="197">
        <v>70</v>
      </c>
      <c r="C13" s="5" t="s">
        <v>218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235</v>
      </c>
      <c r="B14" s="196">
        <v>489</v>
      </c>
      <c r="C14" s="23" t="s">
        <v>216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214</v>
      </c>
      <c r="E15" s="159" t="str" cm="1">
        <f t="array" ref="E15">A15&amp;"""" &amp;real(B15)&amp;" "&amp;C15&amp;""""</f>
        <v>"thermal conductivity" : "24.0 BTU/(hr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215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217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211</v>
      </c>
      <c r="B22" s="4" t="s">
        <v>1</v>
      </c>
      <c r="C22" s="135"/>
      <c r="D22" s="3" t="str">
        <f>IF($B$22="yes","Start here then fill out '1.2-FAVLoad Materials' Tab","Complete This Section")</f>
        <v>Complete This Section</v>
      </c>
      <c r="E22" s="128" t="str">
        <f>A22&amp;IF(B22="no","false","true")</f>
        <v>"temperature dependent" : false</v>
      </c>
    </row>
    <row r="23" spans="1:5" x14ac:dyDescent="0.25">
      <c r="A23" s="1" t="s">
        <v>232</v>
      </c>
      <c r="B23" s="197">
        <v>70</v>
      </c>
      <c r="C23" s="5" t="s">
        <v>218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235</v>
      </c>
      <c r="B24" s="196">
        <v>489</v>
      </c>
      <c r="C24" s="23" t="s">
        <v>216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 xml:space="preserve">"thermal conductivity" : </v>
      </c>
      <c r="B25" s="196">
        <v>10</v>
      </c>
      <c r="C25" s="23" t="s">
        <v>214</v>
      </c>
      <c r="E25" s="159" t="str" cm="1">
        <f t="array" ref="E25">A25&amp;"""" &amp;real(B25)&amp;" "&amp;C25&amp;""""</f>
        <v>"thermal conductivity" : "10.0 BTU/(hr ft F)"</v>
      </c>
    </row>
    <row r="26" spans="1:5" x14ac:dyDescent="0.25">
      <c r="A26" s="1" t="str">
        <f>IF($B$22="yes","",CHAR(34)&amp;"specific heat"&amp;CHAR(34)&amp;" : ")</f>
        <v xml:space="preserve">"specific heat" : </v>
      </c>
      <c r="B26" s="196">
        <v>0.12</v>
      </c>
      <c r="C26" s="23" t="s">
        <v>215</v>
      </c>
      <c r="E26" s="159" t="str" cm="1">
        <f t="array" ref="E26">A26&amp;"""" &amp;real(B26)&amp;" "&amp;C26&amp;""""</f>
        <v>"specific heat" : "0.12 BTU/(lbm F)"</v>
      </c>
    </row>
    <row r="27" spans="1:5" x14ac:dyDescent="0.25">
      <c r="A27" s="1" t="str">
        <f>IF($B$22="yes","",CHAR(34)&amp;"young's elastic modulus"&amp;CHAR(34)&amp;" : ")</f>
        <v xml:space="preserve">"young's elastic modulus" : </v>
      </c>
      <c r="B27" s="196">
        <v>22800</v>
      </c>
      <c r="C27" s="23" t="s">
        <v>24</v>
      </c>
      <c r="E27" s="159" t="str" cm="1">
        <f t="array" ref="E27">A27&amp;"""" &amp;real(B27)&amp;" "&amp;C27&amp;""""</f>
        <v>"young's elastic modulus" : "22800.0 ksi"</v>
      </c>
    </row>
    <row r="28" spans="1:5" x14ac:dyDescent="0.25">
      <c r="A28" s="1" t="str">
        <f>IF($B$22="yes","",CHAR(34)&amp;"thermal expansion coefficient"&amp;CHAR(34)&amp;" : ")</f>
        <v xml:space="preserve">"thermal expansion coefficient" : </v>
      </c>
      <c r="B28" s="196">
        <v>9.4499999999999993E-6</v>
      </c>
      <c r="C28" s="5" t="s">
        <v>217</v>
      </c>
      <c r="E28" s="159" t="str" cm="1">
        <f t="array" ref="E28">A28&amp;"""" &amp;real(B28)&amp;" "&amp;C28&amp;""""</f>
        <v>"thermal expansion coefficient" : "0.00000945 1/F"</v>
      </c>
    </row>
    <row r="29" spans="1:5" x14ac:dyDescent="0.25">
      <c r="A29" s="1" t="str">
        <f>IF($B$22="yes","",CHAR(34)&amp;"poisson's ratio"&amp;CHAR(34)&amp;" : ")</f>
        <v xml:space="preserve">"poisson's ratio" : </v>
      </c>
      <c r="B29" s="196">
        <v>0.3</v>
      </c>
      <c r="E29" s="159" t="str" cm="1">
        <f t="array" ref="E29">A29&amp;real(B29)</f>
        <v>"poisson's ratio" : 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225</v>
      </c>
      <c r="B32" s="198">
        <v>488</v>
      </c>
      <c r="C32" s="5"/>
      <c r="E32" s="159" t="str" cm="1">
        <f t="array" ref="E32">A32&amp;"""" &amp;real(B32)&amp;" "&amp;C32&amp;""""</f>
        <v>"stress-free temperature" : "488.0 "</v>
      </c>
    </row>
    <row r="33" spans="1:5" x14ac:dyDescent="0.25">
      <c r="A33" s="1" t="s">
        <v>228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226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227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229</v>
      </c>
      <c r="B40" s="22">
        <v>600</v>
      </c>
      <c r="C40" s="23" t="s">
        <v>231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230</v>
      </c>
      <c r="B41" s="22">
        <v>1</v>
      </c>
      <c r="C41" s="23" t="s">
        <v>231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220</v>
      </c>
    </row>
    <row r="51" spans="5:5" hidden="1" x14ac:dyDescent="0.25">
      <c r="E51" s="20" t="s">
        <v>222</v>
      </c>
    </row>
    <row r="52" spans="5:5" hidden="1" x14ac:dyDescent="0.25">
      <c r="E52" s="20" t="s">
        <v>223</v>
      </c>
    </row>
    <row r="53" spans="5:5" hidden="1" x14ac:dyDescent="0.25">
      <c r="E53" s="20" t="s">
        <v>224</v>
      </c>
    </row>
    <row r="54" spans="5:5" hidden="1" x14ac:dyDescent="0.25">
      <c r="E54" s="20" t="s">
        <v>212</v>
      </c>
    </row>
    <row r="55" spans="5:5" hidden="1" x14ac:dyDescent="0.25">
      <c r="E55" s="20" t="s">
        <v>210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57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3" t="s">
        <v>10</v>
      </c>
      <c r="B1" s="214"/>
      <c r="C1" s="214"/>
      <c r="D1" s="214"/>
      <c r="E1" s="214"/>
      <c r="F1" s="214"/>
      <c r="G1" s="214"/>
      <c r="H1" s="214"/>
      <c r="I1" s="214"/>
      <c r="J1" s="215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6" t="str">
        <f>"Base Metal"&amp;IF('1.1-FAVLoad Parameters'!$B$12="no"," - Do not fill this out"," - Fill this out")</f>
        <v>Base Metal - Do not fill this out</v>
      </c>
      <c r="B2" s="217"/>
      <c r="C2" s="217"/>
      <c r="D2" s="217"/>
      <c r="E2" s="217"/>
      <c r="F2" s="217"/>
      <c r="G2" s="217"/>
      <c r="H2" s="217"/>
      <c r="I2" s="217"/>
      <c r="J2" s="218"/>
      <c r="K2" s="216" t="str">
        <f>"Cladding"&amp;IF('1.1-FAVLoad Parameters'!$B$22="no"," - Do not fill this out"," - Fill this out")</f>
        <v>Cladding - Do not fill this out</v>
      </c>
      <c r="L2" s="217"/>
      <c r="M2" s="217"/>
      <c r="N2" s="217"/>
      <c r="O2" s="217"/>
      <c r="P2" s="217"/>
      <c r="Q2" s="217"/>
      <c r="R2" s="217"/>
      <c r="S2" s="217"/>
      <c r="T2" s="218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218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232</v>
      </c>
      <c r="L3" s="28"/>
      <c r="M3" s="45">
        <v>70</v>
      </c>
      <c r="N3" s="8" t="s">
        <v>218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19" t="s">
        <v>34</v>
      </c>
      <c r="B4" s="220"/>
      <c r="C4" s="220"/>
      <c r="D4" s="220"/>
      <c r="E4" s="220"/>
      <c r="F4" s="220"/>
      <c r="G4" s="220"/>
      <c r="H4" s="220"/>
      <c r="I4" s="220"/>
      <c r="J4" s="221"/>
      <c r="K4" s="219" t="s">
        <v>34</v>
      </c>
      <c r="L4" s="220"/>
      <c r="M4" s="220"/>
      <c r="N4" s="220"/>
      <c r="O4" s="222"/>
      <c r="P4" s="222"/>
      <c r="Q4" s="222"/>
      <c r="R4" s="222"/>
      <c r="S4" s="222"/>
      <c r="T4" s="221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17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218</v>
      </c>
      <c r="B7" s="46" t="s">
        <v>214</v>
      </c>
      <c r="C7" s="7" t="s">
        <v>218</v>
      </c>
      <c r="D7" s="7" t="s">
        <v>215</v>
      </c>
      <c r="E7" s="7" t="s">
        <v>218</v>
      </c>
      <c r="F7" s="7" t="s">
        <v>24</v>
      </c>
      <c r="G7" s="7" t="s">
        <v>218</v>
      </c>
      <c r="H7" s="7" t="s">
        <v>217</v>
      </c>
      <c r="I7" s="7" t="s">
        <v>218</v>
      </c>
      <c r="J7" s="47"/>
      <c r="K7" s="6" t="s">
        <v>218</v>
      </c>
      <c r="L7" s="7" t="s">
        <v>214</v>
      </c>
      <c r="M7" s="7" t="s">
        <v>218</v>
      </c>
      <c r="N7" s="7" t="s">
        <v>215</v>
      </c>
      <c r="O7" s="7" t="s">
        <v>218</v>
      </c>
      <c r="P7" s="7" t="s">
        <v>24</v>
      </c>
      <c r="Q7" s="7" t="s">
        <v>218</v>
      </c>
      <c r="R7" s="7" t="s">
        <v>217</v>
      </c>
      <c r="S7" s="7" t="s">
        <v>218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  <row r="44" spans="14:14" x14ac:dyDescent="0.25">
      <c r="N44" s="163" t="s">
        <v>237</v>
      </c>
    </row>
    <row r="45" spans="14:14" x14ac:dyDescent="0.25">
      <c r="N45" s="163" t="s">
        <v>238</v>
      </c>
    </row>
    <row r="46" spans="14:14" x14ac:dyDescent="0.25">
      <c r="N46" s="163" t="s">
        <v>239</v>
      </c>
    </row>
    <row r="47" spans="14:14" x14ac:dyDescent="0.25">
      <c r="N47" s="163">
        <v>800</v>
      </c>
    </row>
    <row r="48" spans="14:14" x14ac:dyDescent="0.25">
      <c r="N48" s="163" t="s">
        <v>236</v>
      </c>
    </row>
    <row r="49" spans="14:14" x14ac:dyDescent="0.25">
      <c r="N49" s="163" t="s">
        <v>242</v>
      </c>
    </row>
    <row r="50" spans="14:14" x14ac:dyDescent="0.25">
      <c r="N50" s="163" t="s">
        <v>243</v>
      </c>
    </row>
    <row r="51" spans="14:14" x14ac:dyDescent="0.25">
      <c r="N51" s="163" t="s">
        <v>244</v>
      </c>
    </row>
    <row r="52" spans="14:14" x14ac:dyDescent="0.25">
      <c r="N52" s="163" t="s">
        <v>245</v>
      </c>
    </row>
    <row r="53" spans="14:14" x14ac:dyDescent="0.25">
      <c r="N53" s="163">
        <v>0.13669999999999999</v>
      </c>
    </row>
    <row r="54" spans="14:14" x14ac:dyDescent="0.25">
      <c r="N54" s="163" t="s">
        <v>236</v>
      </c>
    </row>
    <row r="55" spans="14:14" x14ac:dyDescent="0.25">
      <c r="N55" s="163" t="s">
        <v>241</v>
      </c>
    </row>
    <row r="56" spans="14:14" x14ac:dyDescent="0.25">
      <c r="N56" s="163" t="s">
        <v>246</v>
      </c>
    </row>
    <row r="57" spans="14:14" x14ac:dyDescent="0.25">
      <c r="N57" s="163" t="s">
        <v>240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R1008"/>
  <sheetViews>
    <sheetView workbookViewId="0">
      <selection activeCell="B7" sqref="B7:F104857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218</v>
      </c>
      <c r="D5" s="12" t="s">
        <v>218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231</v>
      </c>
      <c r="H7" s="82" t="s">
        <v>219</v>
      </c>
      <c r="I7" s="82" t="s">
        <v>231</v>
      </c>
      <c r="J7" s="9" t="s">
        <v>218</v>
      </c>
      <c r="K7" s="82" t="s">
        <v>231</v>
      </c>
      <c r="L7" s="10" t="s">
        <v>24</v>
      </c>
      <c r="M7" s="81" t="s">
        <v>231</v>
      </c>
      <c r="N7" s="82" t="s">
        <v>219</v>
      </c>
      <c r="O7" s="82" t="s">
        <v>231</v>
      </c>
      <c r="P7" s="9" t="s">
        <v>218</v>
      </c>
      <c r="Q7" s="82" t="s">
        <v>231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743"/>
  <sheetViews>
    <sheetView zoomScaleNormal="100" workbookViewId="0">
      <pane ySplit="7" topLeftCell="A122" activePane="bottomLeft" state="frozen"/>
      <selection pane="bottomLeft" sqref="A1:A743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207</v>
      </c>
    </row>
    <row r="2" spans="1:1" x14ac:dyDescent="0.25">
      <c r="A2" s="205" t="s">
        <v>208</v>
      </c>
    </row>
    <row r="3" spans="1:1" x14ac:dyDescent="0.25">
      <c r="A3" s="205" t="s">
        <v>764</v>
      </c>
    </row>
    <row r="4" spans="1:1" x14ac:dyDescent="0.25">
      <c r="A4" s="205" t="s">
        <v>765</v>
      </c>
    </row>
    <row r="5" spans="1:1" x14ac:dyDescent="0.25">
      <c r="A5" s="205" t="s">
        <v>270</v>
      </c>
    </row>
    <row r="6" spans="1:1" x14ac:dyDescent="0.25">
      <c r="A6" s="205" t="s">
        <v>213</v>
      </c>
    </row>
    <row r="7" spans="1:1" x14ac:dyDescent="0.25">
      <c r="A7" s="205" t="s">
        <v>209</v>
      </c>
    </row>
    <row r="8" spans="1:1" x14ac:dyDescent="0.25">
      <c r="A8" s="205" t="s">
        <v>233</v>
      </c>
    </row>
    <row r="9" spans="1:1" x14ac:dyDescent="0.25">
      <c r="A9" s="205" t="s">
        <v>769</v>
      </c>
    </row>
    <row r="10" spans="1:1" x14ac:dyDescent="0.25">
      <c r="A10" s="205" t="s">
        <v>221</v>
      </c>
    </row>
    <row r="11" spans="1:1" x14ac:dyDescent="0.25">
      <c r="A11" s="205" t="s">
        <v>222</v>
      </c>
    </row>
    <row r="12" spans="1:1" x14ac:dyDescent="0.25">
      <c r="A12" s="205" t="s">
        <v>770</v>
      </c>
    </row>
    <row r="13" spans="1:1" x14ac:dyDescent="0.25">
      <c r="A13" s="205" t="s">
        <v>220</v>
      </c>
    </row>
    <row r="14" spans="1:1" x14ac:dyDescent="0.25">
      <c r="A14" s="205" t="s">
        <v>771</v>
      </c>
    </row>
    <row r="15" spans="1:1" x14ac:dyDescent="0.25">
      <c r="A15" s="205" t="s">
        <v>772</v>
      </c>
    </row>
    <row r="16" spans="1:1" x14ac:dyDescent="0.25">
      <c r="A16" s="205" t="s">
        <v>773</v>
      </c>
    </row>
    <row r="17" spans="1:1" x14ac:dyDescent="0.25">
      <c r="A17" s="205" t="s">
        <v>210</v>
      </c>
    </row>
    <row r="18" spans="1:1" x14ac:dyDescent="0.25">
      <c r="A18" s="205" t="s">
        <v>234</v>
      </c>
    </row>
    <row r="19" spans="1:1" x14ac:dyDescent="0.25">
      <c r="A19" s="205" t="s">
        <v>769</v>
      </c>
    </row>
    <row r="20" spans="1:1" x14ac:dyDescent="0.25">
      <c r="A20" s="205" t="s">
        <v>221</v>
      </c>
    </row>
    <row r="21" spans="1:1" x14ac:dyDescent="0.25">
      <c r="A21" s="205" t="s">
        <v>222</v>
      </c>
    </row>
    <row r="22" spans="1:1" x14ac:dyDescent="0.25">
      <c r="A22" s="205" t="s">
        <v>778</v>
      </c>
    </row>
    <row r="23" spans="1:1" x14ac:dyDescent="0.25">
      <c r="A23" s="205" t="s">
        <v>220</v>
      </c>
    </row>
    <row r="24" spans="1:1" x14ac:dyDescent="0.25">
      <c r="A24" s="205" t="s">
        <v>223</v>
      </c>
    </row>
    <row r="25" spans="1:1" x14ac:dyDescent="0.25">
      <c r="A25" s="205" t="s">
        <v>224</v>
      </c>
    </row>
    <row r="26" spans="1:1" x14ac:dyDescent="0.25">
      <c r="A26" s="205" t="s">
        <v>773</v>
      </c>
    </row>
    <row r="27" spans="1:1" x14ac:dyDescent="0.25">
      <c r="A27" s="205" t="s">
        <v>248</v>
      </c>
    </row>
    <row r="28" spans="1:1" x14ac:dyDescent="0.25">
      <c r="A28" s="205" t="s">
        <v>213</v>
      </c>
    </row>
    <row r="29" spans="1:1" x14ac:dyDescent="0.25">
      <c r="A29" s="205" t="s">
        <v>247</v>
      </c>
    </row>
    <row r="30" spans="1:1" x14ac:dyDescent="0.25">
      <c r="A30" s="205" t="s">
        <v>767</v>
      </c>
    </row>
    <row r="31" spans="1:1" x14ac:dyDescent="0.25">
      <c r="A31" s="205" t="s">
        <v>766</v>
      </c>
    </row>
    <row r="32" spans="1:1" x14ac:dyDescent="0.25">
      <c r="A32" s="205" t="s">
        <v>774</v>
      </c>
    </row>
    <row r="33" spans="1:1" x14ac:dyDescent="0.25">
      <c r="A33" s="205" t="s">
        <v>779</v>
      </c>
    </row>
    <row r="34" spans="1:1" x14ac:dyDescent="0.25">
      <c r="A34" s="205" t="s">
        <v>213</v>
      </c>
    </row>
    <row r="35" spans="1:1" x14ac:dyDescent="0.25">
      <c r="A35" s="205" t="s">
        <v>249</v>
      </c>
    </row>
    <row r="36" spans="1:1" x14ac:dyDescent="0.25">
      <c r="A36" s="205" t="s">
        <v>780</v>
      </c>
    </row>
    <row r="37" spans="1:1" x14ac:dyDescent="0.25">
      <c r="A37" s="205" t="s">
        <v>775</v>
      </c>
    </row>
    <row r="38" spans="1:1" x14ac:dyDescent="0.25">
      <c r="A38" s="205" t="s">
        <v>250</v>
      </c>
    </row>
    <row r="39" spans="1:1" x14ac:dyDescent="0.25">
      <c r="A39" s="205" t="s">
        <v>251</v>
      </c>
    </row>
    <row r="40" spans="1:1" x14ac:dyDescent="0.25">
      <c r="A40" s="205" t="s">
        <v>280</v>
      </c>
    </row>
    <row r="41" spans="1:1" x14ac:dyDescent="0.25">
      <c r="A41" s="205" t="s">
        <v>842</v>
      </c>
    </row>
    <row r="42" spans="1:1" x14ac:dyDescent="0.25">
      <c r="A42" s="205" t="s">
        <v>252</v>
      </c>
    </row>
    <row r="43" spans="1:1" x14ac:dyDescent="0.25">
      <c r="A43" s="205" t="s">
        <v>253</v>
      </c>
    </row>
    <row r="44" spans="1:1" x14ac:dyDescent="0.25">
      <c r="A44" s="205" t="s">
        <v>843</v>
      </c>
    </row>
    <row r="45" spans="1:1" x14ac:dyDescent="0.25">
      <c r="A45" s="205" t="s">
        <v>254</v>
      </c>
    </row>
    <row r="46" spans="1:1" x14ac:dyDescent="0.25">
      <c r="A46" s="205" t="s">
        <v>255</v>
      </c>
    </row>
    <row r="47" spans="1:1" x14ac:dyDescent="0.25">
      <c r="A47" s="205" t="s">
        <v>776</v>
      </c>
    </row>
    <row r="48" spans="1:1" x14ac:dyDescent="0.25">
      <c r="A48" s="205" t="s">
        <v>254</v>
      </c>
    </row>
    <row r="49" spans="1:1" x14ac:dyDescent="0.25">
      <c r="A49" s="205" t="s">
        <v>281</v>
      </c>
    </row>
    <row r="50" spans="1:1" x14ac:dyDescent="0.25">
      <c r="A50" s="205" t="s">
        <v>256</v>
      </c>
    </row>
    <row r="51" spans="1:1" x14ac:dyDescent="0.25">
      <c r="A51" s="205" t="s">
        <v>257</v>
      </c>
    </row>
    <row r="52" spans="1:1" x14ac:dyDescent="0.25">
      <c r="A52" s="205" t="s">
        <v>320</v>
      </c>
    </row>
    <row r="53" spans="1:1" x14ac:dyDescent="0.25">
      <c r="A53" s="205" t="s">
        <v>253</v>
      </c>
    </row>
    <row r="54" spans="1:1" x14ac:dyDescent="0.25">
      <c r="A54" s="205" t="s">
        <v>972</v>
      </c>
    </row>
    <row r="55" spans="1:1" x14ac:dyDescent="0.25">
      <c r="A55" s="205" t="s">
        <v>254</v>
      </c>
    </row>
    <row r="56" spans="1:1" x14ac:dyDescent="0.25">
      <c r="A56" s="205" t="s">
        <v>259</v>
      </c>
    </row>
    <row r="57" spans="1:1" x14ac:dyDescent="0.25">
      <c r="A57" s="205" t="s">
        <v>973</v>
      </c>
    </row>
    <row r="58" spans="1:1" x14ac:dyDescent="0.25">
      <c r="A58" s="205" t="s">
        <v>254</v>
      </c>
    </row>
    <row r="59" spans="1:1" x14ac:dyDescent="0.25">
      <c r="A59" s="205" t="s">
        <v>281</v>
      </c>
    </row>
    <row r="60" spans="1:1" x14ac:dyDescent="0.25">
      <c r="A60" s="205" t="s">
        <v>260</v>
      </c>
    </row>
    <row r="61" spans="1:1" x14ac:dyDescent="0.25">
      <c r="A61" s="205" t="s">
        <v>257</v>
      </c>
    </row>
    <row r="62" spans="1:1" x14ac:dyDescent="0.25">
      <c r="A62" s="205" t="s">
        <v>261</v>
      </c>
    </row>
    <row r="63" spans="1:1" x14ac:dyDescent="0.25">
      <c r="A63" s="205" t="s">
        <v>253</v>
      </c>
    </row>
    <row r="64" spans="1:1" x14ac:dyDescent="0.25">
      <c r="A64" s="205" t="s">
        <v>781</v>
      </c>
    </row>
    <row r="65" spans="1:1" x14ac:dyDescent="0.25">
      <c r="A65" s="205" t="s">
        <v>782</v>
      </c>
    </row>
    <row r="66" spans="1:1" x14ac:dyDescent="0.25">
      <c r="A66" s="205" t="s">
        <v>783</v>
      </c>
    </row>
    <row r="67" spans="1:1" x14ac:dyDescent="0.25">
      <c r="A67" s="205" t="s">
        <v>784</v>
      </c>
    </row>
    <row r="68" spans="1:1" x14ac:dyDescent="0.25">
      <c r="A68" s="205" t="s">
        <v>785</v>
      </c>
    </row>
    <row r="69" spans="1:1" x14ac:dyDescent="0.25">
      <c r="A69" s="205" t="s">
        <v>786</v>
      </c>
    </row>
    <row r="70" spans="1:1" x14ac:dyDescent="0.25">
      <c r="A70" s="205" t="s">
        <v>787</v>
      </c>
    </row>
    <row r="71" spans="1:1" x14ac:dyDescent="0.25">
      <c r="A71" s="205" t="s">
        <v>788</v>
      </c>
    </row>
    <row r="72" spans="1:1" x14ac:dyDescent="0.25">
      <c r="A72" s="205" t="s">
        <v>789</v>
      </c>
    </row>
    <row r="73" spans="1:1" x14ac:dyDescent="0.25">
      <c r="A73" s="205" t="s">
        <v>790</v>
      </c>
    </row>
    <row r="74" spans="1:1" x14ac:dyDescent="0.25">
      <c r="A74" s="205" t="s">
        <v>791</v>
      </c>
    </row>
    <row r="75" spans="1:1" x14ac:dyDescent="0.25">
      <c r="A75" s="205" t="s">
        <v>792</v>
      </c>
    </row>
    <row r="76" spans="1:1" x14ac:dyDescent="0.25">
      <c r="A76" s="205" t="s">
        <v>793</v>
      </c>
    </row>
    <row r="77" spans="1:1" x14ac:dyDescent="0.25">
      <c r="A77" s="205" t="s">
        <v>794</v>
      </c>
    </row>
    <row r="78" spans="1:1" x14ac:dyDescent="0.25">
      <c r="A78" s="205" t="s">
        <v>795</v>
      </c>
    </row>
    <row r="79" spans="1:1" x14ac:dyDescent="0.25">
      <c r="A79" s="205" t="s">
        <v>796</v>
      </c>
    </row>
    <row r="80" spans="1:1" x14ac:dyDescent="0.25">
      <c r="A80" s="205" t="s">
        <v>797</v>
      </c>
    </row>
    <row r="81" spans="1:1" x14ac:dyDescent="0.25">
      <c r="A81" s="205" t="s">
        <v>798</v>
      </c>
    </row>
    <row r="82" spans="1:1" x14ac:dyDescent="0.25">
      <c r="A82" s="205" t="s">
        <v>799</v>
      </c>
    </row>
    <row r="83" spans="1:1" x14ac:dyDescent="0.25">
      <c r="A83" s="205" t="s">
        <v>800</v>
      </c>
    </row>
    <row r="84" spans="1:1" x14ac:dyDescent="0.25">
      <c r="A84" s="205" t="s">
        <v>801</v>
      </c>
    </row>
    <row r="85" spans="1:1" x14ac:dyDescent="0.25">
      <c r="A85" s="205" t="s">
        <v>802</v>
      </c>
    </row>
    <row r="86" spans="1:1" x14ac:dyDescent="0.25">
      <c r="A86" s="205" t="s">
        <v>803</v>
      </c>
    </row>
    <row r="87" spans="1:1" x14ac:dyDescent="0.25">
      <c r="A87" s="205" t="s">
        <v>804</v>
      </c>
    </row>
    <row r="88" spans="1:1" x14ac:dyDescent="0.25">
      <c r="A88" s="205" t="s">
        <v>805</v>
      </c>
    </row>
    <row r="89" spans="1:1" x14ac:dyDescent="0.25">
      <c r="A89" s="205" t="s">
        <v>806</v>
      </c>
    </row>
    <row r="90" spans="1:1" x14ac:dyDescent="0.25">
      <c r="A90" s="205" t="s">
        <v>807</v>
      </c>
    </row>
    <row r="91" spans="1:1" x14ac:dyDescent="0.25">
      <c r="A91" s="205" t="s">
        <v>808</v>
      </c>
    </row>
    <row r="92" spans="1:1" x14ac:dyDescent="0.25">
      <c r="A92" s="205" t="s">
        <v>809</v>
      </c>
    </row>
    <row r="93" spans="1:1" x14ac:dyDescent="0.25">
      <c r="A93" s="205" t="s">
        <v>810</v>
      </c>
    </row>
    <row r="94" spans="1:1" x14ac:dyDescent="0.25">
      <c r="A94" s="205" t="s">
        <v>811</v>
      </c>
    </row>
    <row r="95" spans="1:1" x14ac:dyDescent="0.25">
      <c r="A95" s="205" t="s">
        <v>812</v>
      </c>
    </row>
    <row r="96" spans="1:1" x14ac:dyDescent="0.25">
      <c r="A96" s="205" t="s">
        <v>813</v>
      </c>
    </row>
    <row r="97" spans="1:1" x14ac:dyDescent="0.25">
      <c r="A97" s="205" t="s">
        <v>814</v>
      </c>
    </row>
    <row r="98" spans="1:1" x14ac:dyDescent="0.25">
      <c r="A98" s="205" t="s">
        <v>815</v>
      </c>
    </row>
    <row r="99" spans="1:1" x14ac:dyDescent="0.25">
      <c r="A99" s="205" t="s">
        <v>816</v>
      </c>
    </row>
    <row r="100" spans="1:1" x14ac:dyDescent="0.25">
      <c r="A100" s="205" t="s">
        <v>817</v>
      </c>
    </row>
    <row r="101" spans="1:1" x14ac:dyDescent="0.25">
      <c r="A101" s="205" t="s">
        <v>818</v>
      </c>
    </row>
    <row r="102" spans="1:1" x14ac:dyDescent="0.25">
      <c r="A102" s="205" t="s">
        <v>819</v>
      </c>
    </row>
    <row r="103" spans="1:1" x14ac:dyDescent="0.25">
      <c r="A103" s="205" t="s">
        <v>820</v>
      </c>
    </row>
    <row r="104" spans="1:1" x14ac:dyDescent="0.25">
      <c r="A104" s="205" t="s">
        <v>821</v>
      </c>
    </row>
    <row r="105" spans="1:1" x14ac:dyDescent="0.25">
      <c r="A105" s="205" t="s">
        <v>822</v>
      </c>
    </row>
    <row r="106" spans="1:1" x14ac:dyDescent="0.25">
      <c r="A106" s="205" t="s">
        <v>823</v>
      </c>
    </row>
    <row r="107" spans="1:1" x14ac:dyDescent="0.25">
      <c r="A107" s="205" t="s">
        <v>824</v>
      </c>
    </row>
    <row r="108" spans="1:1" x14ac:dyDescent="0.25">
      <c r="A108" s="205" t="s">
        <v>825</v>
      </c>
    </row>
    <row r="109" spans="1:1" x14ac:dyDescent="0.25">
      <c r="A109" s="205" t="s">
        <v>826</v>
      </c>
    </row>
    <row r="110" spans="1:1" x14ac:dyDescent="0.25">
      <c r="A110" s="205" t="s">
        <v>827</v>
      </c>
    </row>
    <row r="111" spans="1:1" x14ac:dyDescent="0.25">
      <c r="A111" s="205" t="s">
        <v>828</v>
      </c>
    </row>
    <row r="112" spans="1:1" x14ac:dyDescent="0.25">
      <c r="A112" s="205" t="s">
        <v>829</v>
      </c>
    </row>
    <row r="113" spans="1:1" x14ac:dyDescent="0.25">
      <c r="A113" s="205" t="s">
        <v>830</v>
      </c>
    </row>
    <row r="114" spans="1:1" x14ac:dyDescent="0.25">
      <c r="A114" s="205" t="s">
        <v>831</v>
      </c>
    </row>
    <row r="115" spans="1:1" x14ac:dyDescent="0.25">
      <c r="A115" s="205" t="s">
        <v>832</v>
      </c>
    </row>
    <row r="116" spans="1:1" x14ac:dyDescent="0.25">
      <c r="A116" s="205" t="s">
        <v>833</v>
      </c>
    </row>
    <row r="117" spans="1:1" x14ac:dyDescent="0.25">
      <c r="A117" s="205" t="s">
        <v>834</v>
      </c>
    </row>
    <row r="118" spans="1:1" x14ac:dyDescent="0.25">
      <c r="A118" s="205" t="s">
        <v>835</v>
      </c>
    </row>
    <row r="119" spans="1:1" x14ac:dyDescent="0.25">
      <c r="A119" s="205" t="s">
        <v>836</v>
      </c>
    </row>
    <row r="120" spans="1:1" x14ac:dyDescent="0.25">
      <c r="A120" s="205" t="s">
        <v>837</v>
      </c>
    </row>
    <row r="121" spans="1:1" x14ac:dyDescent="0.25">
      <c r="A121" s="205" t="s">
        <v>838</v>
      </c>
    </row>
    <row r="122" spans="1:1" x14ac:dyDescent="0.25">
      <c r="A122" s="205" t="s">
        <v>839</v>
      </c>
    </row>
    <row r="123" spans="1:1" x14ac:dyDescent="0.25">
      <c r="A123" s="205" t="s">
        <v>840</v>
      </c>
    </row>
    <row r="124" spans="1:1" x14ac:dyDescent="0.25">
      <c r="A124" s="205" t="s">
        <v>844</v>
      </c>
    </row>
    <row r="125" spans="1:1" x14ac:dyDescent="0.25">
      <c r="A125" s="205" t="s">
        <v>845</v>
      </c>
    </row>
    <row r="126" spans="1:1" x14ac:dyDescent="0.25">
      <c r="A126" s="205" t="s">
        <v>846</v>
      </c>
    </row>
    <row r="127" spans="1:1" x14ac:dyDescent="0.25">
      <c r="A127" s="205" t="s">
        <v>847</v>
      </c>
    </row>
    <row r="128" spans="1:1" x14ac:dyDescent="0.25">
      <c r="A128" s="205" t="s">
        <v>848</v>
      </c>
    </row>
    <row r="129" spans="1:1" x14ac:dyDescent="0.25">
      <c r="A129" s="205" t="s">
        <v>849</v>
      </c>
    </row>
    <row r="130" spans="1:1" x14ac:dyDescent="0.25">
      <c r="A130" s="205" t="s">
        <v>850</v>
      </c>
    </row>
    <row r="131" spans="1:1" x14ac:dyDescent="0.25">
      <c r="A131" s="205" t="s">
        <v>851</v>
      </c>
    </row>
    <row r="132" spans="1:1" x14ac:dyDescent="0.25">
      <c r="A132" s="205" t="s">
        <v>852</v>
      </c>
    </row>
    <row r="133" spans="1:1" x14ac:dyDescent="0.25">
      <c r="A133" s="205" t="s">
        <v>853</v>
      </c>
    </row>
    <row r="134" spans="1:1" x14ac:dyDescent="0.25">
      <c r="A134" s="205" t="s">
        <v>854</v>
      </c>
    </row>
    <row r="135" spans="1:1" x14ac:dyDescent="0.25">
      <c r="A135" s="205" t="s">
        <v>855</v>
      </c>
    </row>
    <row r="136" spans="1:1" x14ac:dyDescent="0.25">
      <c r="A136" s="205" t="s">
        <v>856</v>
      </c>
    </row>
    <row r="137" spans="1:1" x14ac:dyDescent="0.25">
      <c r="A137" s="205" t="s">
        <v>857</v>
      </c>
    </row>
    <row r="138" spans="1:1" x14ac:dyDescent="0.25">
      <c r="A138" s="205" t="s">
        <v>858</v>
      </c>
    </row>
    <row r="139" spans="1:1" x14ac:dyDescent="0.25">
      <c r="A139" s="205" t="s">
        <v>859</v>
      </c>
    </row>
    <row r="140" spans="1:1" x14ac:dyDescent="0.25">
      <c r="A140" s="205" t="s">
        <v>860</v>
      </c>
    </row>
    <row r="141" spans="1:1" x14ac:dyDescent="0.25">
      <c r="A141" s="205" t="s">
        <v>861</v>
      </c>
    </row>
    <row r="142" spans="1:1" x14ac:dyDescent="0.25">
      <c r="A142" s="205" t="s">
        <v>862</v>
      </c>
    </row>
    <row r="143" spans="1:1" x14ac:dyDescent="0.25">
      <c r="A143" s="205" t="s">
        <v>863</v>
      </c>
    </row>
    <row r="144" spans="1:1" x14ac:dyDescent="0.25">
      <c r="A144" s="205" t="s">
        <v>864</v>
      </c>
    </row>
    <row r="145" spans="1:1" x14ac:dyDescent="0.25">
      <c r="A145" s="205" t="s">
        <v>865</v>
      </c>
    </row>
    <row r="146" spans="1:1" x14ac:dyDescent="0.25">
      <c r="A146" s="205" t="s">
        <v>866</v>
      </c>
    </row>
    <row r="147" spans="1:1" x14ac:dyDescent="0.25">
      <c r="A147" s="205" t="s">
        <v>867</v>
      </c>
    </row>
    <row r="148" spans="1:1" x14ac:dyDescent="0.25">
      <c r="A148" s="205" t="s">
        <v>868</v>
      </c>
    </row>
    <row r="149" spans="1:1" x14ac:dyDescent="0.25">
      <c r="A149" s="205" t="s">
        <v>869</v>
      </c>
    </row>
    <row r="150" spans="1:1" x14ac:dyDescent="0.25">
      <c r="A150" s="205" t="s">
        <v>870</v>
      </c>
    </row>
    <row r="151" spans="1:1" x14ac:dyDescent="0.25">
      <c r="A151" s="205" t="s">
        <v>871</v>
      </c>
    </row>
    <row r="152" spans="1:1" x14ac:dyDescent="0.25">
      <c r="A152" s="205" t="s">
        <v>872</v>
      </c>
    </row>
    <row r="153" spans="1:1" x14ac:dyDescent="0.25">
      <c r="A153" s="205" t="s">
        <v>873</v>
      </c>
    </row>
    <row r="154" spans="1:1" x14ac:dyDescent="0.25">
      <c r="A154" s="205" t="s">
        <v>874</v>
      </c>
    </row>
    <row r="155" spans="1:1" x14ac:dyDescent="0.25">
      <c r="A155" s="205" t="s">
        <v>875</v>
      </c>
    </row>
    <row r="156" spans="1:1" x14ac:dyDescent="0.25">
      <c r="A156" s="205" t="s">
        <v>876</v>
      </c>
    </row>
    <row r="157" spans="1:1" x14ac:dyDescent="0.25">
      <c r="A157" s="205" t="s">
        <v>877</v>
      </c>
    </row>
    <row r="158" spans="1:1" x14ac:dyDescent="0.25">
      <c r="A158" s="205" t="s">
        <v>878</v>
      </c>
    </row>
    <row r="159" spans="1:1" x14ac:dyDescent="0.25">
      <c r="A159" s="205" t="s">
        <v>879</v>
      </c>
    </row>
    <row r="160" spans="1:1" x14ac:dyDescent="0.25">
      <c r="A160" s="205" t="s">
        <v>880</v>
      </c>
    </row>
    <row r="161" spans="1:1" x14ac:dyDescent="0.25">
      <c r="A161" s="205" t="s">
        <v>881</v>
      </c>
    </row>
    <row r="162" spans="1:1" x14ac:dyDescent="0.25">
      <c r="A162" s="205" t="s">
        <v>882</v>
      </c>
    </row>
    <row r="163" spans="1:1" x14ac:dyDescent="0.25">
      <c r="A163" s="205" t="s">
        <v>883</v>
      </c>
    </row>
    <row r="164" spans="1:1" x14ac:dyDescent="0.25">
      <c r="A164" s="205" t="s">
        <v>884</v>
      </c>
    </row>
    <row r="165" spans="1:1" x14ac:dyDescent="0.25">
      <c r="A165" s="205" t="s">
        <v>885</v>
      </c>
    </row>
    <row r="166" spans="1:1" x14ac:dyDescent="0.25">
      <c r="A166" s="205" t="s">
        <v>886</v>
      </c>
    </row>
    <row r="167" spans="1:1" x14ac:dyDescent="0.25">
      <c r="A167" s="205" t="s">
        <v>887</v>
      </c>
    </row>
    <row r="168" spans="1:1" x14ac:dyDescent="0.25">
      <c r="A168" s="205" t="s">
        <v>888</v>
      </c>
    </row>
    <row r="169" spans="1:1" x14ac:dyDescent="0.25">
      <c r="A169" s="205" t="s">
        <v>889</v>
      </c>
    </row>
    <row r="170" spans="1:1" x14ac:dyDescent="0.25">
      <c r="A170" s="205" t="s">
        <v>890</v>
      </c>
    </row>
    <row r="171" spans="1:1" x14ac:dyDescent="0.25">
      <c r="A171" s="205" t="s">
        <v>891</v>
      </c>
    </row>
    <row r="172" spans="1:1" x14ac:dyDescent="0.25">
      <c r="A172" s="205" t="s">
        <v>892</v>
      </c>
    </row>
    <row r="173" spans="1:1" x14ac:dyDescent="0.25">
      <c r="A173" s="205" t="s">
        <v>893</v>
      </c>
    </row>
    <row r="174" spans="1:1" x14ac:dyDescent="0.25">
      <c r="A174" s="205" t="s">
        <v>894</v>
      </c>
    </row>
    <row r="175" spans="1:1" x14ac:dyDescent="0.25">
      <c r="A175" s="205" t="s">
        <v>895</v>
      </c>
    </row>
    <row r="176" spans="1:1" x14ac:dyDescent="0.25">
      <c r="A176" s="205" t="s">
        <v>896</v>
      </c>
    </row>
    <row r="177" spans="1:1" x14ac:dyDescent="0.25">
      <c r="A177" s="205" t="s">
        <v>897</v>
      </c>
    </row>
    <row r="178" spans="1:1" x14ac:dyDescent="0.25">
      <c r="A178" s="205" t="s">
        <v>898</v>
      </c>
    </row>
    <row r="179" spans="1:1" x14ac:dyDescent="0.25">
      <c r="A179" s="205" t="s">
        <v>899</v>
      </c>
    </row>
    <row r="180" spans="1:1" x14ac:dyDescent="0.25">
      <c r="A180" s="205" t="s">
        <v>900</v>
      </c>
    </row>
    <row r="181" spans="1:1" x14ac:dyDescent="0.25">
      <c r="A181" s="205" t="s">
        <v>901</v>
      </c>
    </row>
    <row r="182" spans="1:1" x14ac:dyDescent="0.25">
      <c r="A182" s="205" t="s">
        <v>902</v>
      </c>
    </row>
    <row r="183" spans="1:1" x14ac:dyDescent="0.25">
      <c r="A183" s="205" t="s">
        <v>903</v>
      </c>
    </row>
    <row r="184" spans="1:1" x14ac:dyDescent="0.25">
      <c r="A184" s="205" t="s">
        <v>904</v>
      </c>
    </row>
    <row r="185" spans="1:1" x14ac:dyDescent="0.25">
      <c r="A185" s="205" t="s">
        <v>254</v>
      </c>
    </row>
    <row r="186" spans="1:1" x14ac:dyDescent="0.25">
      <c r="A186" s="205" t="s">
        <v>262</v>
      </c>
    </row>
    <row r="187" spans="1:1" x14ac:dyDescent="0.25">
      <c r="A187" s="205" t="s">
        <v>905</v>
      </c>
    </row>
    <row r="188" spans="1:1" x14ac:dyDescent="0.25">
      <c r="A188" s="205" t="s">
        <v>905</v>
      </c>
    </row>
    <row r="189" spans="1:1" x14ac:dyDescent="0.25">
      <c r="A189" s="205" t="s">
        <v>905</v>
      </c>
    </row>
    <row r="190" spans="1:1" x14ac:dyDescent="0.25">
      <c r="A190" s="205" t="s">
        <v>905</v>
      </c>
    </row>
    <row r="191" spans="1:1" x14ac:dyDescent="0.25">
      <c r="A191" s="205" t="s">
        <v>905</v>
      </c>
    </row>
    <row r="192" spans="1:1" x14ac:dyDescent="0.25">
      <c r="A192" s="205" t="s">
        <v>905</v>
      </c>
    </row>
    <row r="193" spans="1:1" x14ac:dyDescent="0.25">
      <c r="A193" s="205" t="s">
        <v>905</v>
      </c>
    </row>
    <row r="194" spans="1:1" x14ac:dyDescent="0.25">
      <c r="A194" s="205" t="s">
        <v>905</v>
      </c>
    </row>
    <row r="195" spans="1:1" x14ac:dyDescent="0.25">
      <c r="A195" s="205" t="s">
        <v>905</v>
      </c>
    </row>
    <row r="196" spans="1:1" x14ac:dyDescent="0.25">
      <c r="A196" s="205" t="s">
        <v>905</v>
      </c>
    </row>
    <row r="197" spans="1:1" x14ac:dyDescent="0.25">
      <c r="A197" s="205" t="s">
        <v>905</v>
      </c>
    </row>
    <row r="198" spans="1:1" x14ac:dyDescent="0.25">
      <c r="A198" s="205" t="s">
        <v>905</v>
      </c>
    </row>
    <row r="199" spans="1:1" x14ac:dyDescent="0.25">
      <c r="A199" s="205" t="s">
        <v>905</v>
      </c>
    </row>
    <row r="200" spans="1:1" x14ac:dyDescent="0.25">
      <c r="A200" s="205" t="s">
        <v>905</v>
      </c>
    </row>
    <row r="201" spans="1:1" x14ac:dyDescent="0.25">
      <c r="A201" s="205" t="s">
        <v>905</v>
      </c>
    </row>
    <row r="202" spans="1:1" x14ac:dyDescent="0.25">
      <c r="A202" s="205" t="s">
        <v>905</v>
      </c>
    </row>
    <row r="203" spans="1:1" x14ac:dyDescent="0.25">
      <c r="A203" s="205" t="s">
        <v>905</v>
      </c>
    </row>
    <row r="204" spans="1:1" x14ac:dyDescent="0.25">
      <c r="A204" s="205" t="s">
        <v>905</v>
      </c>
    </row>
    <row r="205" spans="1:1" x14ac:dyDescent="0.25">
      <c r="A205" s="205" t="s">
        <v>905</v>
      </c>
    </row>
    <row r="206" spans="1:1" x14ac:dyDescent="0.25">
      <c r="A206" s="205" t="s">
        <v>905</v>
      </c>
    </row>
    <row r="207" spans="1:1" x14ac:dyDescent="0.25">
      <c r="A207" s="205" t="s">
        <v>905</v>
      </c>
    </row>
    <row r="208" spans="1:1" x14ac:dyDescent="0.25">
      <c r="A208" s="205" t="s">
        <v>905</v>
      </c>
    </row>
    <row r="209" spans="1:1" x14ac:dyDescent="0.25">
      <c r="A209" s="205" t="s">
        <v>905</v>
      </c>
    </row>
    <row r="210" spans="1:1" x14ac:dyDescent="0.25">
      <c r="A210" s="205" t="s">
        <v>905</v>
      </c>
    </row>
    <row r="211" spans="1:1" x14ac:dyDescent="0.25">
      <c r="A211" s="205" t="s">
        <v>905</v>
      </c>
    </row>
    <row r="212" spans="1:1" x14ac:dyDescent="0.25">
      <c r="A212" s="205" t="s">
        <v>905</v>
      </c>
    </row>
    <row r="213" spans="1:1" x14ac:dyDescent="0.25">
      <c r="A213" s="205" t="s">
        <v>905</v>
      </c>
    </row>
    <row r="214" spans="1:1" x14ac:dyDescent="0.25">
      <c r="A214" s="205" t="s">
        <v>905</v>
      </c>
    </row>
    <row r="215" spans="1:1" x14ac:dyDescent="0.25">
      <c r="A215" s="205" t="s">
        <v>905</v>
      </c>
    </row>
    <row r="216" spans="1:1" x14ac:dyDescent="0.25">
      <c r="A216" s="205" t="s">
        <v>905</v>
      </c>
    </row>
    <row r="217" spans="1:1" x14ac:dyDescent="0.25">
      <c r="A217" s="205" t="s">
        <v>905</v>
      </c>
    </row>
    <row r="218" spans="1:1" x14ac:dyDescent="0.25">
      <c r="A218" s="205" t="s">
        <v>905</v>
      </c>
    </row>
    <row r="219" spans="1:1" x14ac:dyDescent="0.25">
      <c r="A219" s="205" t="s">
        <v>905</v>
      </c>
    </row>
    <row r="220" spans="1:1" x14ac:dyDescent="0.25">
      <c r="A220" s="205" t="s">
        <v>905</v>
      </c>
    </row>
    <row r="221" spans="1:1" x14ac:dyDescent="0.25">
      <c r="A221" s="205" t="s">
        <v>905</v>
      </c>
    </row>
    <row r="222" spans="1:1" x14ac:dyDescent="0.25">
      <c r="A222" s="205" t="s">
        <v>905</v>
      </c>
    </row>
    <row r="223" spans="1:1" x14ac:dyDescent="0.25">
      <c r="A223" s="205" t="s">
        <v>905</v>
      </c>
    </row>
    <row r="224" spans="1:1" x14ac:dyDescent="0.25">
      <c r="A224" s="205" t="s">
        <v>905</v>
      </c>
    </row>
    <row r="225" spans="1:1" x14ac:dyDescent="0.25">
      <c r="A225" s="205" t="s">
        <v>905</v>
      </c>
    </row>
    <row r="226" spans="1:1" x14ac:dyDescent="0.25">
      <c r="A226" s="205" t="s">
        <v>905</v>
      </c>
    </row>
    <row r="227" spans="1:1" x14ac:dyDescent="0.25">
      <c r="A227" s="205" t="s">
        <v>905</v>
      </c>
    </row>
    <row r="228" spans="1:1" x14ac:dyDescent="0.25">
      <c r="A228" s="205" t="s">
        <v>905</v>
      </c>
    </row>
    <row r="229" spans="1:1" x14ac:dyDescent="0.25">
      <c r="A229" s="205" t="s">
        <v>905</v>
      </c>
    </row>
    <row r="230" spans="1:1" x14ac:dyDescent="0.25">
      <c r="A230" s="205" t="s">
        <v>905</v>
      </c>
    </row>
    <row r="231" spans="1:1" x14ac:dyDescent="0.25">
      <c r="A231" s="205" t="s">
        <v>905</v>
      </c>
    </row>
    <row r="232" spans="1:1" x14ac:dyDescent="0.25">
      <c r="A232" s="205" t="s">
        <v>905</v>
      </c>
    </row>
    <row r="233" spans="1:1" x14ac:dyDescent="0.25">
      <c r="A233" s="205" t="s">
        <v>906</v>
      </c>
    </row>
    <row r="234" spans="1:1" x14ac:dyDescent="0.25">
      <c r="A234" s="205" t="s">
        <v>907</v>
      </c>
    </row>
    <row r="235" spans="1:1" x14ac:dyDescent="0.25">
      <c r="A235" s="205" t="s">
        <v>908</v>
      </c>
    </row>
    <row r="236" spans="1:1" x14ac:dyDescent="0.25">
      <c r="A236" s="205" t="s">
        <v>909</v>
      </c>
    </row>
    <row r="237" spans="1:1" x14ac:dyDescent="0.25">
      <c r="A237" s="205" t="s">
        <v>910</v>
      </c>
    </row>
    <row r="238" spans="1:1" x14ac:dyDescent="0.25">
      <c r="A238" s="205" t="s">
        <v>911</v>
      </c>
    </row>
    <row r="239" spans="1:1" x14ac:dyDescent="0.25">
      <c r="A239" s="205" t="s">
        <v>912</v>
      </c>
    </row>
    <row r="240" spans="1:1" x14ac:dyDescent="0.25">
      <c r="A240" s="205" t="s">
        <v>913</v>
      </c>
    </row>
    <row r="241" spans="1:1" x14ac:dyDescent="0.25">
      <c r="A241" s="205" t="s">
        <v>914</v>
      </c>
    </row>
    <row r="242" spans="1:1" x14ac:dyDescent="0.25">
      <c r="A242" s="205" t="s">
        <v>915</v>
      </c>
    </row>
    <row r="243" spans="1:1" x14ac:dyDescent="0.25">
      <c r="A243" s="205" t="s">
        <v>916</v>
      </c>
    </row>
    <row r="244" spans="1:1" x14ac:dyDescent="0.25">
      <c r="A244" s="205" t="s">
        <v>917</v>
      </c>
    </row>
    <row r="245" spans="1:1" x14ac:dyDescent="0.25">
      <c r="A245" s="205" t="s">
        <v>918</v>
      </c>
    </row>
    <row r="246" spans="1:1" x14ac:dyDescent="0.25">
      <c r="A246" s="205" t="s">
        <v>919</v>
      </c>
    </row>
    <row r="247" spans="1:1" x14ac:dyDescent="0.25">
      <c r="A247" s="205" t="s">
        <v>920</v>
      </c>
    </row>
    <row r="248" spans="1:1" x14ac:dyDescent="0.25">
      <c r="A248" s="205" t="s">
        <v>921</v>
      </c>
    </row>
    <row r="249" spans="1:1" x14ac:dyDescent="0.25">
      <c r="A249" s="205" t="s">
        <v>922</v>
      </c>
    </row>
    <row r="250" spans="1:1" x14ac:dyDescent="0.25">
      <c r="A250" s="205" t="s">
        <v>923</v>
      </c>
    </row>
    <row r="251" spans="1:1" x14ac:dyDescent="0.25">
      <c r="A251" s="205" t="s">
        <v>924</v>
      </c>
    </row>
    <row r="252" spans="1:1" x14ac:dyDescent="0.25">
      <c r="A252" s="205" t="s">
        <v>925</v>
      </c>
    </row>
    <row r="253" spans="1:1" x14ac:dyDescent="0.25">
      <c r="A253" s="205" t="s">
        <v>926</v>
      </c>
    </row>
    <row r="254" spans="1:1" x14ac:dyDescent="0.25">
      <c r="A254" s="205" t="s">
        <v>927</v>
      </c>
    </row>
    <row r="255" spans="1:1" x14ac:dyDescent="0.25">
      <c r="A255" s="205" t="s">
        <v>928</v>
      </c>
    </row>
    <row r="256" spans="1:1" x14ac:dyDescent="0.25">
      <c r="A256" s="205" t="s">
        <v>929</v>
      </c>
    </row>
    <row r="257" spans="1:1" x14ac:dyDescent="0.25">
      <c r="A257" s="205" t="s">
        <v>930</v>
      </c>
    </row>
    <row r="258" spans="1:1" x14ac:dyDescent="0.25">
      <c r="A258" s="205" t="s">
        <v>931</v>
      </c>
    </row>
    <row r="259" spans="1:1" x14ac:dyDescent="0.25">
      <c r="A259" s="205" t="s">
        <v>932</v>
      </c>
    </row>
    <row r="260" spans="1:1" x14ac:dyDescent="0.25">
      <c r="A260" s="205" t="s">
        <v>933</v>
      </c>
    </row>
    <row r="261" spans="1:1" x14ac:dyDescent="0.25">
      <c r="A261" s="205" t="s">
        <v>934</v>
      </c>
    </row>
    <row r="262" spans="1:1" x14ac:dyDescent="0.25">
      <c r="A262" s="205" t="s">
        <v>935</v>
      </c>
    </row>
    <row r="263" spans="1:1" x14ac:dyDescent="0.25">
      <c r="A263" s="205" t="s">
        <v>936</v>
      </c>
    </row>
    <row r="264" spans="1:1" x14ac:dyDescent="0.25">
      <c r="A264" s="205" t="s">
        <v>937</v>
      </c>
    </row>
    <row r="265" spans="1:1" x14ac:dyDescent="0.25">
      <c r="A265" s="205" t="s">
        <v>938</v>
      </c>
    </row>
    <row r="266" spans="1:1" x14ac:dyDescent="0.25">
      <c r="A266" s="205" t="s">
        <v>939</v>
      </c>
    </row>
    <row r="267" spans="1:1" x14ac:dyDescent="0.25">
      <c r="A267" s="205" t="s">
        <v>940</v>
      </c>
    </row>
    <row r="268" spans="1:1" x14ac:dyDescent="0.25">
      <c r="A268" s="205" t="s">
        <v>941</v>
      </c>
    </row>
    <row r="269" spans="1:1" x14ac:dyDescent="0.25">
      <c r="A269" s="205" t="s">
        <v>942</v>
      </c>
    </row>
    <row r="270" spans="1:1" x14ac:dyDescent="0.25">
      <c r="A270" s="205" t="s">
        <v>943</v>
      </c>
    </row>
    <row r="271" spans="1:1" x14ac:dyDescent="0.25">
      <c r="A271" s="205" t="s">
        <v>944</v>
      </c>
    </row>
    <row r="272" spans="1:1" x14ac:dyDescent="0.25">
      <c r="A272" s="205" t="s">
        <v>945</v>
      </c>
    </row>
    <row r="273" spans="1:1" x14ac:dyDescent="0.25">
      <c r="A273" s="205" t="s">
        <v>946</v>
      </c>
    </row>
    <row r="274" spans="1:1" x14ac:dyDescent="0.25">
      <c r="A274" s="205" t="s">
        <v>947</v>
      </c>
    </row>
    <row r="275" spans="1:1" x14ac:dyDescent="0.25">
      <c r="A275" s="205" t="s">
        <v>947</v>
      </c>
    </row>
    <row r="276" spans="1:1" x14ac:dyDescent="0.25">
      <c r="A276" s="205" t="s">
        <v>948</v>
      </c>
    </row>
    <row r="277" spans="1:1" x14ac:dyDescent="0.25">
      <c r="A277" s="205" t="s">
        <v>948</v>
      </c>
    </row>
    <row r="278" spans="1:1" x14ac:dyDescent="0.25">
      <c r="A278" s="205" t="s">
        <v>949</v>
      </c>
    </row>
    <row r="279" spans="1:1" x14ac:dyDescent="0.25">
      <c r="A279" s="205" t="s">
        <v>950</v>
      </c>
    </row>
    <row r="280" spans="1:1" x14ac:dyDescent="0.25">
      <c r="A280" s="205" t="s">
        <v>950</v>
      </c>
    </row>
    <row r="281" spans="1:1" x14ac:dyDescent="0.25">
      <c r="A281" s="205" t="s">
        <v>950</v>
      </c>
    </row>
    <row r="282" spans="1:1" x14ac:dyDescent="0.25">
      <c r="A282" s="205" t="s">
        <v>951</v>
      </c>
    </row>
    <row r="283" spans="1:1" x14ac:dyDescent="0.25">
      <c r="A283" s="205" t="s">
        <v>952</v>
      </c>
    </row>
    <row r="284" spans="1:1" x14ac:dyDescent="0.25">
      <c r="A284" s="205" t="s">
        <v>952</v>
      </c>
    </row>
    <row r="285" spans="1:1" x14ac:dyDescent="0.25">
      <c r="A285" s="205" t="s">
        <v>952</v>
      </c>
    </row>
    <row r="286" spans="1:1" x14ac:dyDescent="0.25">
      <c r="A286" s="205" t="s">
        <v>952</v>
      </c>
    </row>
    <row r="287" spans="1:1" x14ac:dyDescent="0.25">
      <c r="A287" s="205" t="s">
        <v>953</v>
      </c>
    </row>
    <row r="288" spans="1:1" x14ac:dyDescent="0.25">
      <c r="A288" s="205" t="s">
        <v>953</v>
      </c>
    </row>
    <row r="289" spans="1:1" x14ac:dyDescent="0.25">
      <c r="A289" s="205" t="s">
        <v>953</v>
      </c>
    </row>
    <row r="290" spans="1:1" x14ac:dyDescent="0.25">
      <c r="A290" s="205" t="s">
        <v>953</v>
      </c>
    </row>
    <row r="291" spans="1:1" x14ac:dyDescent="0.25">
      <c r="A291" s="205" t="s">
        <v>953</v>
      </c>
    </row>
    <row r="292" spans="1:1" x14ac:dyDescent="0.25">
      <c r="A292" s="205" t="s">
        <v>953</v>
      </c>
    </row>
    <row r="293" spans="1:1" x14ac:dyDescent="0.25">
      <c r="A293" s="205" t="s">
        <v>953</v>
      </c>
    </row>
    <row r="294" spans="1:1" x14ac:dyDescent="0.25">
      <c r="A294" s="205" t="s">
        <v>953</v>
      </c>
    </row>
    <row r="295" spans="1:1" x14ac:dyDescent="0.25">
      <c r="A295" s="205" t="s">
        <v>954</v>
      </c>
    </row>
    <row r="296" spans="1:1" x14ac:dyDescent="0.25">
      <c r="A296" s="205" t="s">
        <v>955</v>
      </c>
    </row>
    <row r="297" spans="1:1" x14ac:dyDescent="0.25">
      <c r="A297" s="205" t="s">
        <v>955</v>
      </c>
    </row>
    <row r="298" spans="1:1" x14ac:dyDescent="0.25">
      <c r="A298" s="205" t="s">
        <v>956</v>
      </c>
    </row>
    <row r="299" spans="1:1" x14ac:dyDescent="0.25">
      <c r="A299" s="205" t="s">
        <v>957</v>
      </c>
    </row>
    <row r="300" spans="1:1" x14ac:dyDescent="0.25">
      <c r="A300" s="205" t="s">
        <v>958</v>
      </c>
    </row>
    <row r="301" spans="1:1" x14ac:dyDescent="0.25">
      <c r="A301" s="205" t="s">
        <v>959</v>
      </c>
    </row>
    <row r="302" spans="1:1" x14ac:dyDescent="0.25">
      <c r="A302" s="205" t="s">
        <v>960</v>
      </c>
    </row>
    <row r="303" spans="1:1" x14ac:dyDescent="0.25">
      <c r="A303" s="205" t="s">
        <v>961</v>
      </c>
    </row>
    <row r="304" spans="1:1" x14ac:dyDescent="0.25">
      <c r="A304" s="205" t="s">
        <v>962</v>
      </c>
    </row>
    <row r="305" spans="1:1" x14ac:dyDescent="0.25">
      <c r="A305" s="205" t="s">
        <v>963</v>
      </c>
    </row>
    <row r="306" spans="1:1" x14ac:dyDescent="0.25">
      <c r="A306" s="205" t="s">
        <v>964</v>
      </c>
    </row>
    <row r="307" spans="1:1" x14ac:dyDescent="0.25">
      <c r="A307" s="205" t="s">
        <v>965</v>
      </c>
    </row>
    <row r="308" spans="1:1" x14ac:dyDescent="0.25">
      <c r="A308" s="205" t="s">
        <v>254</v>
      </c>
    </row>
    <row r="309" spans="1:1" x14ac:dyDescent="0.25">
      <c r="A309" s="205" t="s">
        <v>281</v>
      </c>
    </row>
    <row r="310" spans="1:1" x14ac:dyDescent="0.25">
      <c r="A310" s="205" t="s">
        <v>263</v>
      </c>
    </row>
    <row r="311" spans="1:1" x14ac:dyDescent="0.25">
      <c r="A311" s="205" t="s">
        <v>264</v>
      </c>
    </row>
    <row r="312" spans="1:1" x14ac:dyDescent="0.25">
      <c r="A312" s="205" t="s">
        <v>240</v>
      </c>
    </row>
    <row r="313" spans="1:1" x14ac:dyDescent="0.25">
      <c r="A313" s="205" t="s">
        <v>251</v>
      </c>
    </row>
    <row r="314" spans="1:1" x14ac:dyDescent="0.25">
      <c r="A314" s="205" t="s">
        <v>777</v>
      </c>
    </row>
    <row r="315" spans="1:1" x14ac:dyDescent="0.25">
      <c r="A315" s="205" t="s">
        <v>966</v>
      </c>
    </row>
    <row r="316" spans="1:1" x14ac:dyDescent="0.25">
      <c r="A316" s="205" t="s">
        <v>252</v>
      </c>
    </row>
    <row r="317" spans="1:1" x14ac:dyDescent="0.25">
      <c r="A317" s="205" t="s">
        <v>253</v>
      </c>
    </row>
    <row r="318" spans="1:1" x14ac:dyDescent="0.25">
      <c r="A318" s="205" t="s">
        <v>843</v>
      </c>
    </row>
    <row r="319" spans="1:1" x14ac:dyDescent="0.25">
      <c r="A319" s="205" t="s">
        <v>254</v>
      </c>
    </row>
    <row r="320" spans="1:1" x14ac:dyDescent="0.25">
      <c r="A320" s="205" t="s">
        <v>255</v>
      </c>
    </row>
    <row r="321" spans="1:1" x14ac:dyDescent="0.25">
      <c r="A321" s="205" t="s">
        <v>776</v>
      </c>
    </row>
    <row r="322" spans="1:1" x14ac:dyDescent="0.25">
      <c r="A322" s="205" t="s">
        <v>254</v>
      </c>
    </row>
    <row r="323" spans="1:1" x14ac:dyDescent="0.25">
      <c r="A323" s="205" t="s">
        <v>281</v>
      </c>
    </row>
    <row r="324" spans="1:1" x14ac:dyDescent="0.25">
      <c r="A324" s="205" t="s">
        <v>256</v>
      </c>
    </row>
    <row r="325" spans="1:1" x14ac:dyDescent="0.25">
      <c r="A325" s="205" t="s">
        <v>257</v>
      </c>
    </row>
    <row r="326" spans="1:1" x14ac:dyDescent="0.25">
      <c r="A326" s="205" t="s">
        <v>320</v>
      </c>
    </row>
    <row r="327" spans="1:1" x14ac:dyDescent="0.25">
      <c r="A327" s="205" t="s">
        <v>969</v>
      </c>
    </row>
    <row r="328" spans="1:1" x14ac:dyDescent="0.25">
      <c r="A328" s="205" t="s">
        <v>970</v>
      </c>
    </row>
    <row r="329" spans="1:1" x14ac:dyDescent="0.25">
      <c r="A329" s="205" t="s">
        <v>971</v>
      </c>
    </row>
    <row r="330" spans="1:1" x14ac:dyDescent="0.25">
      <c r="A330" s="205" t="s">
        <v>257</v>
      </c>
    </row>
    <row r="331" spans="1:1" x14ac:dyDescent="0.25">
      <c r="A331" s="205" t="s">
        <v>261</v>
      </c>
    </row>
    <row r="332" spans="1:1" x14ac:dyDescent="0.25">
      <c r="A332" s="205" t="s">
        <v>253</v>
      </c>
    </row>
    <row r="333" spans="1:1" x14ac:dyDescent="0.25">
      <c r="A333" s="205" t="s">
        <v>462</v>
      </c>
    </row>
    <row r="334" spans="1:1" x14ac:dyDescent="0.25">
      <c r="A334" s="205" t="s">
        <v>463</v>
      </c>
    </row>
    <row r="335" spans="1:1" x14ac:dyDescent="0.25">
      <c r="A335" s="205" t="s">
        <v>464</v>
      </c>
    </row>
    <row r="336" spans="1:1" x14ac:dyDescent="0.25">
      <c r="A336" s="205" t="s">
        <v>465</v>
      </c>
    </row>
    <row r="337" spans="1:1" x14ac:dyDescent="0.25">
      <c r="A337" s="205" t="s">
        <v>466</v>
      </c>
    </row>
    <row r="338" spans="1:1" x14ac:dyDescent="0.25">
      <c r="A338" s="205" t="s">
        <v>467</v>
      </c>
    </row>
    <row r="339" spans="1:1" x14ac:dyDescent="0.25">
      <c r="A339" s="205" t="s">
        <v>468</v>
      </c>
    </row>
    <row r="340" spans="1:1" x14ac:dyDescent="0.25">
      <c r="A340" s="205" t="s">
        <v>469</v>
      </c>
    </row>
    <row r="341" spans="1:1" x14ac:dyDescent="0.25">
      <c r="A341" s="205" t="s">
        <v>470</v>
      </c>
    </row>
    <row r="342" spans="1:1" x14ac:dyDescent="0.25">
      <c r="A342" s="205" t="s">
        <v>471</v>
      </c>
    </row>
    <row r="343" spans="1:1" x14ac:dyDescent="0.25">
      <c r="A343" s="205" t="s">
        <v>472</v>
      </c>
    </row>
    <row r="344" spans="1:1" x14ac:dyDescent="0.25">
      <c r="A344" s="205" t="s">
        <v>473</v>
      </c>
    </row>
    <row r="345" spans="1:1" x14ac:dyDescent="0.25">
      <c r="A345" s="205" t="s">
        <v>474</v>
      </c>
    </row>
    <row r="346" spans="1:1" x14ac:dyDescent="0.25">
      <c r="A346" s="205" t="s">
        <v>475</v>
      </c>
    </row>
    <row r="347" spans="1:1" x14ac:dyDescent="0.25">
      <c r="A347" s="205" t="s">
        <v>476</v>
      </c>
    </row>
    <row r="348" spans="1:1" x14ac:dyDescent="0.25">
      <c r="A348" s="205" t="s">
        <v>477</v>
      </c>
    </row>
    <row r="349" spans="1:1" x14ac:dyDescent="0.25">
      <c r="A349" s="205" t="s">
        <v>478</v>
      </c>
    </row>
    <row r="350" spans="1:1" x14ac:dyDescent="0.25">
      <c r="A350" s="205" t="s">
        <v>479</v>
      </c>
    </row>
    <row r="351" spans="1:1" x14ac:dyDescent="0.25">
      <c r="A351" s="205" t="s">
        <v>480</v>
      </c>
    </row>
    <row r="352" spans="1:1" x14ac:dyDescent="0.25">
      <c r="A352" s="205" t="s">
        <v>481</v>
      </c>
    </row>
    <row r="353" spans="1:1" x14ac:dyDescent="0.25">
      <c r="A353" s="205" t="s">
        <v>482</v>
      </c>
    </row>
    <row r="354" spans="1:1" x14ac:dyDescent="0.25">
      <c r="A354" s="205" t="s">
        <v>483</v>
      </c>
    </row>
    <row r="355" spans="1:1" x14ac:dyDescent="0.25">
      <c r="A355" s="205" t="s">
        <v>484</v>
      </c>
    </row>
    <row r="356" spans="1:1" x14ac:dyDescent="0.25">
      <c r="A356" s="205" t="s">
        <v>485</v>
      </c>
    </row>
    <row r="357" spans="1:1" x14ac:dyDescent="0.25">
      <c r="A357" s="205" t="s">
        <v>486</v>
      </c>
    </row>
    <row r="358" spans="1:1" x14ac:dyDescent="0.25">
      <c r="A358" s="205" t="s">
        <v>487</v>
      </c>
    </row>
    <row r="359" spans="1:1" x14ac:dyDescent="0.25">
      <c r="A359" s="205" t="s">
        <v>488</v>
      </c>
    </row>
    <row r="360" spans="1:1" x14ac:dyDescent="0.25">
      <c r="A360" s="205" t="s">
        <v>489</v>
      </c>
    </row>
    <row r="361" spans="1:1" x14ac:dyDescent="0.25">
      <c r="A361" s="205" t="s">
        <v>490</v>
      </c>
    </row>
    <row r="362" spans="1:1" x14ac:dyDescent="0.25">
      <c r="A362" s="205" t="s">
        <v>491</v>
      </c>
    </row>
    <row r="363" spans="1:1" x14ac:dyDescent="0.25">
      <c r="A363" s="205" t="s">
        <v>492</v>
      </c>
    </row>
    <row r="364" spans="1:1" x14ac:dyDescent="0.25">
      <c r="A364" s="205" t="s">
        <v>493</v>
      </c>
    </row>
    <row r="365" spans="1:1" x14ac:dyDescent="0.25">
      <c r="A365" s="205" t="s">
        <v>494</v>
      </c>
    </row>
    <row r="366" spans="1:1" x14ac:dyDescent="0.25">
      <c r="A366" s="205" t="s">
        <v>495</v>
      </c>
    </row>
    <row r="367" spans="1:1" x14ac:dyDescent="0.25">
      <c r="A367" s="205" t="s">
        <v>496</v>
      </c>
    </row>
    <row r="368" spans="1:1" x14ac:dyDescent="0.25">
      <c r="A368" s="205" t="s">
        <v>497</v>
      </c>
    </row>
    <row r="369" spans="1:1" x14ac:dyDescent="0.25">
      <c r="A369" s="205" t="s">
        <v>498</v>
      </c>
    </row>
    <row r="370" spans="1:1" x14ac:dyDescent="0.25">
      <c r="A370" s="205" t="s">
        <v>499</v>
      </c>
    </row>
    <row r="371" spans="1:1" x14ac:dyDescent="0.25">
      <c r="A371" s="205" t="s">
        <v>500</v>
      </c>
    </row>
    <row r="372" spans="1:1" x14ac:dyDescent="0.25">
      <c r="A372" s="205" t="s">
        <v>501</v>
      </c>
    </row>
    <row r="373" spans="1:1" x14ac:dyDescent="0.25">
      <c r="A373" s="205" t="s">
        <v>502</v>
      </c>
    </row>
    <row r="374" spans="1:1" x14ac:dyDescent="0.25">
      <c r="A374" s="205" t="s">
        <v>503</v>
      </c>
    </row>
    <row r="375" spans="1:1" x14ac:dyDescent="0.25">
      <c r="A375" s="205" t="s">
        <v>504</v>
      </c>
    </row>
    <row r="376" spans="1:1" x14ac:dyDescent="0.25">
      <c r="A376" s="205" t="s">
        <v>505</v>
      </c>
    </row>
    <row r="377" spans="1:1" x14ac:dyDescent="0.25">
      <c r="A377" s="205" t="s">
        <v>506</v>
      </c>
    </row>
    <row r="378" spans="1:1" x14ac:dyDescent="0.25">
      <c r="A378" s="205" t="s">
        <v>507</v>
      </c>
    </row>
    <row r="379" spans="1:1" x14ac:dyDescent="0.25">
      <c r="A379" s="205" t="s">
        <v>508</v>
      </c>
    </row>
    <row r="380" spans="1:1" x14ac:dyDescent="0.25">
      <c r="A380" s="205" t="s">
        <v>509</v>
      </c>
    </row>
    <row r="381" spans="1:1" x14ac:dyDescent="0.25">
      <c r="A381" s="205" t="s">
        <v>510</v>
      </c>
    </row>
    <row r="382" spans="1:1" x14ac:dyDescent="0.25">
      <c r="A382" s="205" t="s">
        <v>511</v>
      </c>
    </row>
    <row r="383" spans="1:1" x14ac:dyDescent="0.25">
      <c r="A383" s="205" t="s">
        <v>512</v>
      </c>
    </row>
    <row r="384" spans="1:1" x14ac:dyDescent="0.25">
      <c r="A384" s="205" t="s">
        <v>513</v>
      </c>
    </row>
    <row r="385" spans="1:1" x14ac:dyDescent="0.25">
      <c r="A385" s="205" t="s">
        <v>514</v>
      </c>
    </row>
    <row r="386" spans="1:1" x14ac:dyDescent="0.25">
      <c r="A386" s="205" t="s">
        <v>515</v>
      </c>
    </row>
    <row r="387" spans="1:1" x14ac:dyDescent="0.25">
      <c r="A387" s="205" t="s">
        <v>516</v>
      </c>
    </row>
    <row r="388" spans="1:1" x14ac:dyDescent="0.25">
      <c r="A388" s="205" t="s">
        <v>517</v>
      </c>
    </row>
    <row r="389" spans="1:1" x14ac:dyDescent="0.25">
      <c r="A389" s="205" t="s">
        <v>518</v>
      </c>
    </row>
    <row r="390" spans="1:1" x14ac:dyDescent="0.25">
      <c r="A390" s="205" t="s">
        <v>519</v>
      </c>
    </row>
    <row r="391" spans="1:1" x14ac:dyDescent="0.25">
      <c r="A391" s="205" t="s">
        <v>520</v>
      </c>
    </row>
    <row r="392" spans="1:1" x14ac:dyDescent="0.25">
      <c r="A392" s="205" t="s">
        <v>521</v>
      </c>
    </row>
    <row r="393" spans="1:1" x14ac:dyDescent="0.25">
      <c r="A393" s="205" t="s">
        <v>522</v>
      </c>
    </row>
    <row r="394" spans="1:1" x14ac:dyDescent="0.25">
      <c r="A394" s="205" t="s">
        <v>523</v>
      </c>
    </row>
    <row r="395" spans="1:1" x14ac:dyDescent="0.25">
      <c r="A395" s="205" t="s">
        <v>524</v>
      </c>
    </row>
    <row r="396" spans="1:1" x14ac:dyDescent="0.25">
      <c r="A396" s="205" t="s">
        <v>525</v>
      </c>
    </row>
    <row r="397" spans="1:1" x14ac:dyDescent="0.25">
      <c r="A397" s="205" t="s">
        <v>526</v>
      </c>
    </row>
    <row r="398" spans="1:1" x14ac:dyDescent="0.25">
      <c r="A398" s="205" t="s">
        <v>527</v>
      </c>
    </row>
    <row r="399" spans="1:1" x14ac:dyDescent="0.25">
      <c r="A399" s="205" t="s">
        <v>528</v>
      </c>
    </row>
    <row r="400" spans="1:1" x14ac:dyDescent="0.25">
      <c r="A400" s="205" t="s">
        <v>529</v>
      </c>
    </row>
    <row r="401" spans="1:1" x14ac:dyDescent="0.25">
      <c r="A401" s="205" t="s">
        <v>530</v>
      </c>
    </row>
    <row r="402" spans="1:1" x14ac:dyDescent="0.25">
      <c r="A402" s="205" t="s">
        <v>531</v>
      </c>
    </row>
    <row r="403" spans="1:1" x14ac:dyDescent="0.25">
      <c r="A403" s="205" t="s">
        <v>532</v>
      </c>
    </row>
    <row r="404" spans="1:1" x14ac:dyDescent="0.25">
      <c r="A404" s="205" t="s">
        <v>533</v>
      </c>
    </row>
    <row r="405" spans="1:1" x14ac:dyDescent="0.25">
      <c r="A405" s="205" t="s">
        <v>534</v>
      </c>
    </row>
    <row r="406" spans="1:1" x14ac:dyDescent="0.25">
      <c r="A406" s="205" t="s">
        <v>535</v>
      </c>
    </row>
    <row r="407" spans="1:1" x14ac:dyDescent="0.25">
      <c r="A407" s="205" t="s">
        <v>536</v>
      </c>
    </row>
    <row r="408" spans="1:1" x14ac:dyDescent="0.25">
      <c r="A408" s="205" t="s">
        <v>537</v>
      </c>
    </row>
    <row r="409" spans="1:1" x14ac:dyDescent="0.25">
      <c r="A409" s="205" t="s">
        <v>538</v>
      </c>
    </row>
    <row r="410" spans="1:1" x14ac:dyDescent="0.25">
      <c r="A410" s="205" t="s">
        <v>539</v>
      </c>
    </row>
    <row r="411" spans="1:1" x14ac:dyDescent="0.25">
      <c r="A411" s="205" t="s">
        <v>540</v>
      </c>
    </row>
    <row r="412" spans="1:1" x14ac:dyDescent="0.25">
      <c r="A412" s="205" t="s">
        <v>541</v>
      </c>
    </row>
    <row r="413" spans="1:1" x14ac:dyDescent="0.25">
      <c r="A413" s="205" t="s">
        <v>542</v>
      </c>
    </row>
    <row r="414" spans="1:1" x14ac:dyDescent="0.25">
      <c r="A414" s="205" t="s">
        <v>543</v>
      </c>
    </row>
    <row r="415" spans="1:1" x14ac:dyDescent="0.25">
      <c r="A415" s="205" t="s">
        <v>544</v>
      </c>
    </row>
    <row r="416" spans="1:1" x14ac:dyDescent="0.25">
      <c r="A416" s="205" t="s">
        <v>545</v>
      </c>
    </row>
    <row r="417" spans="1:1" x14ac:dyDescent="0.25">
      <c r="A417" s="205" t="s">
        <v>546</v>
      </c>
    </row>
    <row r="418" spans="1:1" x14ac:dyDescent="0.25">
      <c r="A418" s="205" t="s">
        <v>547</v>
      </c>
    </row>
    <row r="419" spans="1:1" x14ac:dyDescent="0.25">
      <c r="A419" s="205" t="s">
        <v>548</v>
      </c>
    </row>
    <row r="420" spans="1:1" x14ac:dyDescent="0.25">
      <c r="A420" s="205" t="s">
        <v>549</v>
      </c>
    </row>
    <row r="421" spans="1:1" x14ac:dyDescent="0.25">
      <c r="A421" s="205" t="s">
        <v>550</v>
      </c>
    </row>
    <row r="422" spans="1:1" x14ac:dyDescent="0.25">
      <c r="A422" s="205" t="s">
        <v>551</v>
      </c>
    </row>
    <row r="423" spans="1:1" x14ac:dyDescent="0.25">
      <c r="A423" s="205" t="s">
        <v>552</v>
      </c>
    </row>
    <row r="424" spans="1:1" x14ac:dyDescent="0.25">
      <c r="A424" s="205" t="s">
        <v>553</v>
      </c>
    </row>
    <row r="425" spans="1:1" x14ac:dyDescent="0.25">
      <c r="A425" s="205" t="s">
        <v>554</v>
      </c>
    </row>
    <row r="426" spans="1:1" x14ac:dyDescent="0.25">
      <c r="A426" s="205" t="s">
        <v>555</v>
      </c>
    </row>
    <row r="427" spans="1:1" x14ac:dyDescent="0.25">
      <c r="A427" s="205" t="s">
        <v>556</v>
      </c>
    </row>
    <row r="428" spans="1:1" x14ac:dyDescent="0.25">
      <c r="A428" s="205" t="s">
        <v>557</v>
      </c>
    </row>
    <row r="429" spans="1:1" x14ac:dyDescent="0.25">
      <c r="A429" s="205" t="s">
        <v>558</v>
      </c>
    </row>
    <row r="430" spans="1:1" x14ac:dyDescent="0.25">
      <c r="A430" s="205" t="s">
        <v>559</v>
      </c>
    </row>
    <row r="431" spans="1:1" x14ac:dyDescent="0.25">
      <c r="A431" s="205" t="s">
        <v>560</v>
      </c>
    </row>
    <row r="432" spans="1:1" x14ac:dyDescent="0.25">
      <c r="A432" s="205" t="s">
        <v>561</v>
      </c>
    </row>
    <row r="433" spans="1:1" x14ac:dyDescent="0.25">
      <c r="A433" s="205" t="s">
        <v>562</v>
      </c>
    </row>
    <row r="434" spans="1:1" x14ac:dyDescent="0.25">
      <c r="A434" s="205" t="s">
        <v>563</v>
      </c>
    </row>
    <row r="435" spans="1:1" x14ac:dyDescent="0.25">
      <c r="A435" s="205" t="s">
        <v>564</v>
      </c>
    </row>
    <row r="436" spans="1:1" x14ac:dyDescent="0.25">
      <c r="A436" s="205" t="s">
        <v>565</v>
      </c>
    </row>
    <row r="437" spans="1:1" x14ac:dyDescent="0.25">
      <c r="A437" s="205" t="s">
        <v>566</v>
      </c>
    </row>
    <row r="438" spans="1:1" x14ac:dyDescent="0.25">
      <c r="A438" s="205" t="s">
        <v>567</v>
      </c>
    </row>
    <row r="439" spans="1:1" x14ac:dyDescent="0.25">
      <c r="A439" s="205" t="s">
        <v>568</v>
      </c>
    </row>
    <row r="440" spans="1:1" x14ac:dyDescent="0.25">
      <c r="A440" s="205" t="s">
        <v>569</v>
      </c>
    </row>
    <row r="441" spans="1:1" x14ac:dyDescent="0.25">
      <c r="A441" s="205" t="s">
        <v>570</v>
      </c>
    </row>
    <row r="442" spans="1:1" x14ac:dyDescent="0.25">
      <c r="A442" s="205" t="s">
        <v>571</v>
      </c>
    </row>
    <row r="443" spans="1:1" x14ac:dyDescent="0.25">
      <c r="A443" s="205" t="s">
        <v>572</v>
      </c>
    </row>
    <row r="444" spans="1:1" x14ac:dyDescent="0.25">
      <c r="A444" s="205" t="s">
        <v>573</v>
      </c>
    </row>
    <row r="445" spans="1:1" x14ac:dyDescent="0.25">
      <c r="A445" s="205" t="s">
        <v>574</v>
      </c>
    </row>
    <row r="446" spans="1:1" x14ac:dyDescent="0.25">
      <c r="A446" s="205" t="s">
        <v>575</v>
      </c>
    </row>
    <row r="447" spans="1:1" x14ac:dyDescent="0.25">
      <c r="A447" s="205" t="s">
        <v>576</v>
      </c>
    </row>
    <row r="448" spans="1:1" x14ac:dyDescent="0.25">
      <c r="A448" s="205" t="s">
        <v>577</v>
      </c>
    </row>
    <row r="449" spans="1:1" x14ac:dyDescent="0.25">
      <c r="A449" s="205" t="s">
        <v>578</v>
      </c>
    </row>
    <row r="450" spans="1:1" x14ac:dyDescent="0.25">
      <c r="A450" s="205" t="s">
        <v>579</v>
      </c>
    </row>
    <row r="451" spans="1:1" x14ac:dyDescent="0.25">
      <c r="A451" s="205" t="s">
        <v>580</v>
      </c>
    </row>
    <row r="452" spans="1:1" x14ac:dyDescent="0.25">
      <c r="A452" s="205" t="s">
        <v>581</v>
      </c>
    </row>
    <row r="453" spans="1:1" x14ac:dyDescent="0.25">
      <c r="A453" s="205" t="s">
        <v>582</v>
      </c>
    </row>
    <row r="454" spans="1:1" x14ac:dyDescent="0.25">
      <c r="A454" s="205" t="s">
        <v>583</v>
      </c>
    </row>
    <row r="455" spans="1:1" x14ac:dyDescent="0.25">
      <c r="A455" s="205" t="s">
        <v>584</v>
      </c>
    </row>
    <row r="456" spans="1:1" x14ac:dyDescent="0.25">
      <c r="A456" s="205" t="s">
        <v>585</v>
      </c>
    </row>
    <row r="457" spans="1:1" x14ac:dyDescent="0.25">
      <c r="A457" s="205" t="s">
        <v>586</v>
      </c>
    </row>
    <row r="458" spans="1:1" x14ac:dyDescent="0.25">
      <c r="A458" s="205" t="s">
        <v>587</v>
      </c>
    </row>
    <row r="459" spans="1:1" x14ac:dyDescent="0.25">
      <c r="A459" s="205" t="s">
        <v>588</v>
      </c>
    </row>
    <row r="460" spans="1:1" x14ac:dyDescent="0.25">
      <c r="A460" s="205" t="s">
        <v>589</v>
      </c>
    </row>
    <row r="461" spans="1:1" x14ac:dyDescent="0.25">
      <c r="A461" s="205" t="s">
        <v>590</v>
      </c>
    </row>
    <row r="462" spans="1:1" x14ac:dyDescent="0.25">
      <c r="A462" s="205" t="s">
        <v>591</v>
      </c>
    </row>
    <row r="463" spans="1:1" x14ac:dyDescent="0.25">
      <c r="A463" s="205" t="s">
        <v>592</v>
      </c>
    </row>
    <row r="464" spans="1:1" x14ac:dyDescent="0.25">
      <c r="A464" s="205" t="s">
        <v>593</v>
      </c>
    </row>
    <row r="465" spans="1:1" x14ac:dyDescent="0.25">
      <c r="A465" s="205" t="s">
        <v>594</v>
      </c>
    </row>
    <row r="466" spans="1:1" x14ac:dyDescent="0.25">
      <c r="A466" s="205" t="s">
        <v>595</v>
      </c>
    </row>
    <row r="467" spans="1:1" x14ac:dyDescent="0.25">
      <c r="A467" s="205" t="s">
        <v>596</v>
      </c>
    </row>
    <row r="468" spans="1:1" x14ac:dyDescent="0.25">
      <c r="A468" s="205" t="s">
        <v>597</v>
      </c>
    </row>
    <row r="469" spans="1:1" x14ac:dyDescent="0.25">
      <c r="A469" s="205" t="s">
        <v>598</v>
      </c>
    </row>
    <row r="470" spans="1:1" x14ac:dyDescent="0.25">
      <c r="A470" s="205" t="s">
        <v>599</v>
      </c>
    </row>
    <row r="471" spans="1:1" x14ac:dyDescent="0.25">
      <c r="A471" s="205" t="s">
        <v>600</v>
      </c>
    </row>
    <row r="472" spans="1:1" x14ac:dyDescent="0.25">
      <c r="A472" s="205" t="s">
        <v>601</v>
      </c>
    </row>
    <row r="473" spans="1:1" x14ac:dyDescent="0.25">
      <c r="A473" s="205" t="s">
        <v>602</v>
      </c>
    </row>
    <row r="474" spans="1:1" x14ac:dyDescent="0.25">
      <c r="A474" s="205" t="s">
        <v>603</v>
      </c>
    </row>
    <row r="475" spans="1:1" x14ac:dyDescent="0.25">
      <c r="A475" s="205" t="s">
        <v>604</v>
      </c>
    </row>
    <row r="476" spans="1:1" x14ac:dyDescent="0.25">
      <c r="A476" s="205" t="s">
        <v>605</v>
      </c>
    </row>
    <row r="477" spans="1:1" x14ac:dyDescent="0.25">
      <c r="A477" s="205" t="s">
        <v>606</v>
      </c>
    </row>
    <row r="478" spans="1:1" x14ac:dyDescent="0.25">
      <c r="A478" s="205" t="s">
        <v>607</v>
      </c>
    </row>
    <row r="479" spans="1:1" x14ac:dyDescent="0.25">
      <c r="A479" s="205" t="s">
        <v>608</v>
      </c>
    </row>
    <row r="480" spans="1:1" x14ac:dyDescent="0.25">
      <c r="A480" s="205" t="s">
        <v>609</v>
      </c>
    </row>
    <row r="481" spans="1:1" x14ac:dyDescent="0.25">
      <c r="A481" s="205" t="s">
        <v>610</v>
      </c>
    </row>
    <row r="482" spans="1:1" x14ac:dyDescent="0.25">
      <c r="A482" s="205" t="s">
        <v>611</v>
      </c>
    </row>
    <row r="483" spans="1:1" x14ac:dyDescent="0.25">
      <c r="A483" s="205" t="s">
        <v>612</v>
      </c>
    </row>
    <row r="484" spans="1:1" x14ac:dyDescent="0.25">
      <c r="A484" s="205" t="s">
        <v>613</v>
      </c>
    </row>
    <row r="485" spans="1:1" x14ac:dyDescent="0.25">
      <c r="A485" s="205" t="s">
        <v>614</v>
      </c>
    </row>
    <row r="486" spans="1:1" x14ac:dyDescent="0.25">
      <c r="A486" s="205" t="s">
        <v>615</v>
      </c>
    </row>
    <row r="487" spans="1:1" x14ac:dyDescent="0.25">
      <c r="A487" s="205" t="s">
        <v>616</v>
      </c>
    </row>
    <row r="488" spans="1:1" x14ac:dyDescent="0.25">
      <c r="A488" s="205" t="s">
        <v>617</v>
      </c>
    </row>
    <row r="489" spans="1:1" x14ac:dyDescent="0.25">
      <c r="A489" s="205" t="s">
        <v>618</v>
      </c>
    </row>
    <row r="490" spans="1:1" x14ac:dyDescent="0.25">
      <c r="A490" s="205" t="s">
        <v>619</v>
      </c>
    </row>
    <row r="491" spans="1:1" x14ac:dyDescent="0.25">
      <c r="A491" s="205" t="s">
        <v>620</v>
      </c>
    </row>
    <row r="492" spans="1:1" x14ac:dyDescent="0.25">
      <c r="A492" s="205" t="s">
        <v>621</v>
      </c>
    </row>
    <row r="493" spans="1:1" x14ac:dyDescent="0.25">
      <c r="A493" s="205" t="s">
        <v>622</v>
      </c>
    </row>
    <row r="494" spans="1:1" x14ac:dyDescent="0.25">
      <c r="A494" s="205" t="s">
        <v>623</v>
      </c>
    </row>
    <row r="495" spans="1:1" x14ac:dyDescent="0.25">
      <c r="A495" s="205" t="s">
        <v>624</v>
      </c>
    </row>
    <row r="496" spans="1:1" x14ac:dyDescent="0.25">
      <c r="A496" s="205" t="s">
        <v>625</v>
      </c>
    </row>
    <row r="497" spans="1:1" x14ac:dyDescent="0.25">
      <c r="A497" s="205" t="s">
        <v>626</v>
      </c>
    </row>
    <row r="498" spans="1:1" x14ac:dyDescent="0.25">
      <c r="A498" s="205" t="s">
        <v>627</v>
      </c>
    </row>
    <row r="499" spans="1:1" x14ac:dyDescent="0.25">
      <c r="A499" s="205" t="s">
        <v>628</v>
      </c>
    </row>
    <row r="500" spans="1:1" x14ac:dyDescent="0.25">
      <c r="A500" s="205" t="s">
        <v>629</v>
      </c>
    </row>
    <row r="501" spans="1:1" x14ac:dyDescent="0.25">
      <c r="A501" s="205" t="s">
        <v>630</v>
      </c>
    </row>
    <row r="502" spans="1:1" x14ac:dyDescent="0.25">
      <c r="A502" s="205" t="s">
        <v>631</v>
      </c>
    </row>
    <row r="503" spans="1:1" x14ac:dyDescent="0.25">
      <c r="A503" s="205" t="s">
        <v>632</v>
      </c>
    </row>
    <row r="504" spans="1:1" x14ac:dyDescent="0.25">
      <c r="A504" s="205" t="s">
        <v>633</v>
      </c>
    </row>
    <row r="505" spans="1:1" x14ac:dyDescent="0.25">
      <c r="A505" s="205" t="s">
        <v>634</v>
      </c>
    </row>
    <row r="506" spans="1:1" x14ac:dyDescent="0.25">
      <c r="A506" s="205" t="s">
        <v>635</v>
      </c>
    </row>
    <row r="507" spans="1:1" x14ac:dyDescent="0.25">
      <c r="A507" s="205" t="s">
        <v>636</v>
      </c>
    </row>
    <row r="508" spans="1:1" x14ac:dyDescent="0.25">
      <c r="A508" s="205" t="s">
        <v>637</v>
      </c>
    </row>
    <row r="509" spans="1:1" x14ac:dyDescent="0.25">
      <c r="A509" s="205" t="s">
        <v>638</v>
      </c>
    </row>
    <row r="510" spans="1:1" x14ac:dyDescent="0.25">
      <c r="A510" s="205" t="s">
        <v>639</v>
      </c>
    </row>
    <row r="511" spans="1:1" x14ac:dyDescent="0.25">
      <c r="A511" s="205" t="s">
        <v>640</v>
      </c>
    </row>
    <row r="512" spans="1:1" x14ac:dyDescent="0.25">
      <c r="A512" s="205" t="s">
        <v>641</v>
      </c>
    </row>
    <row r="513" spans="1:1" x14ac:dyDescent="0.25">
      <c r="A513" s="205" t="s">
        <v>642</v>
      </c>
    </row>
    <row r="514" spans="1:1" x14ac:dyDescent="0.25">
      <c r="A514" s="205" t="s">
        <v>643</v>
      </c>
    </row>
    <row r="515" spans="1:1" x14ac:dyDescent="0.25">
      <c r="A515" s="205" t="s">
        <v>644</v>
      </c>
    </row>
    <row r="516" spans="1:1" x14ac:dyDescent="0.25">
      <c r="A516" s="205" t="s">
        <v>645</v>
      </c>
    </row>
    <row r="517" spans="1:1" x14ac:dyDescent="0.25">
      <c r="A517" s="205" t="s">
        <v>646</v>
      </c>
    </row>
    <row r="518" spans="1:1" x14ac:dyDescent="0.25">
      <c r="A518" s="205" t="s">
        <v>647</v>
      </c>
    </row>
    <row r="519" spans="1:1" x14ac:dyDescent="0.25">
      <c r="A519" s="205" t="s">
        <v>648</v>
      </c>
    </row>
    <row r="520" spans="1:1" x14ac:dyDescent="0.25">
      <c r="A520" s="205" t="s">
        <v>649</v>
      </c>
    </row>
    <row r="521" spans="1:1" x14ac:dyDescent="0.25">
      <c r="A521" s="205" t="s">
        <v>650</v>
      </c>
    </row>
    <row r="522" spans="1:1" x14ac:dyDescent="0.25">
      <c r="A522" s="205" t="s">
        <v>651</v>
      </c>
    </row>
    <row r="523" spans="1:1" x14ac:dyDescent="0.25">
      <c r="A523" s="205" t="s">
        <v>652</v>
      </c>
    </row>
    <row r="524" spans="1:1" x14ac:dyDescent="0.25">
      <c r="A524" s="205" t="s">
        <v>653</v>
      </c>
    </row>
    <row r="525" spans="1:1" x14ac:dyDescent="0.25">
      <c r="A525" s="205" t="s">
        <v>654</v>
      </c>
    </row>
    <row r="526" spans="1:1" x14ac:dyDescent="0.25">
      <c r="A526" s="205" t="s">
        <v>655</v>
      </c>
    </row>
    <row r="527" spans="1:1" x14ac:dyDescent="0.25">
      <c r="A527" s="205" t="s">
        <v>656</v>
      </c>
    </row>
    <row r="528" spans="1:1" x14ac:dyDescent="0.25">
      <c r="A528" s="205" t="s">
        <v>657</v>
      </c>
    </row>
    <row r="529" spans="1:1" x14ac:dyDescent="0.25">
      <c r="A529" s="205" t="s">
        <v>658</v>
      </c>
    </row>
    <row r="530" spans="1:1" x14ac:dyDescent="0.25">
      <c r="A530" s="205" t="s">
        <v>659</v>
      </c>
    </row>
    <row r="531" spans="1:1" x14ac:dyDescent="0.25">
      <c r="A531" s="205" t="s">
        <v>660</v>
      </c>
    </row>
    <row r="532" spans="1:1" x14ac:dyDescent="0.25">
      <c r="A532" s="205" t="s">
        <v>967</v>
      </c>
    </row>
    <row r="533" spans="1:1" x14ac:dyDescent="0.25">
      <c r="A533" s="205" t="s">
        <v>904</v>
      </c>
    </row>
    <row r="534" spans="1:1" x14ac:dyDescent="0.25">
      <c r="A534" s="205" t="s">
        <v>254</v>
      </c>
    </row>
    <row r="535" spans="1:1" x14ac:dyDescent="0.25">
      <c r="A535" s="205" t="s">
        <v>262</v>
      </c>
    </row>
    <row r="536" spans="1:1" x14ac:dyDescent="0.25">
      <c r="A536" s="205" t="s">
        <v>661</v>
      </c>
    </row>
    <row r="537" spans="1:1" x14ac:dyDescent="0.25">
      <c r="A537" s="205" t="s">
        <v>662</v>
      </c>
    </row>
    <row r="538" spans="1:1" x14ac:dyDescent="0.25">
      <c r="A538" s="205" t="s">
        <v>663</v>
      </c>
    </row>
    <row r="539" spans="1:1" x14ac:dyDescent="0.25">
      <c r="A539" s="205" t="s">
        <v>664</v>
      </c>
    </row>
    <row r="540" spans="1:1" x14ac:dyDescent="0.25">
      <c r="A540" s="205" t="s">
        <v>665</v>
      </c>
    </row>
    <row r="541" spans="1:1" x14ac:dyDescent="0.25">
      <c r="A541" s="205" t="s">
        <v>666</v>
      </c>
    </row>
    <row r="542" spans="1:1" x14ac:dyDescent="0.25">
      <c r="A542" s="205" t="s">
        <v>667</v>
      </c>
    </row>
    <row r="543" spans="1:1" x14ac:dyDescent="0.25">
      <c r="A543" s="205" t="s">
        <v>668</v>
      </c>
    </row>
    <row r="544" spans="1:1" x14ac:dyDescent="0.25">
      <c r="A544" s="205" t="s">
        <v>669</v>
      </c>
    </row>
    <row r="545" spans="1:1" x14ac:dyDescent="0.25">
      <c r="A545" s="205" t="s">
        <v>670</v>
      </c>
    </row>
    <row r="546" spans="1:1" x14ac:dyDescent="0.25">
      <c r="A546" s="205" t="s">
        <v>671</v>
      </c>
    </row>
    <row r="547" spans="1:1" x14ac:dyDescent="0.25">
      <c r="A547" s="205" t="s">
        <v>672</v>
      </c>
    </row>
    <row r="548" spans="1:1" x14ac:dyDescent="0.25">
      <c r="A548" s="205" t="s">
        <v>673</v>
      </c>
    </row>
    <row r="549" spans="1:1" x14ac:dyDescent="0.25">
      <c r="A549" s="205" t="s">
        <v>674</v>
      </c>
    </row>
    <row r="550" spans="1:1" x14ac:dyDescent="0.25">
      <c r="A550" s="205" t="s">
        <v>675</v>
      </c>
    </row>
    <row r="551" spans="1:1" x14ac:dyDescent="0.25">
      <c r="A551" s="205" t="s">
        <v>676</v>
      </c>
    </row>
    <row r="552" spans="1:1" x14ac:dyDescent="0.25">
      <c r="A552" s="205" t="s">
        <v>677</v>
      </c>
    </row>
    <row r="553" spans="1:1" x14ac:dyDescent="0.25">
      <c r="A553" s="205" t="s">
        <v>678</v>
      </c>
    </row>
    <row r="554" spans="1:1" x14ac:dyDescent="0.25">
      <c r="A554" s="205" t="s">
        <v>679</v>
      </c>
    </row>
    <row r="555" spans="1:1" x14ac:dyDescent="0.25">
      <c r="A555" s="205" t="s">
        <v>680</v>
      </c>
    </row>
    <row r="556" spans="1:1" x14ac:dyDescent="0.25">
      <c r="A556" s="205" t="s">
        <v>681</v>
      </c>
    </row>
    <row r="557" spans="1:1" x14ac:dyDescent="0.25">
      <c r="A557" s="205" t="s">
        <v>682</v>
      </c>
    </row>
    <row r="558" spans="1:1" x14ac:dyDescent="0.25">
      <c r="A558" s="205" t="s">
        <v>683</v>
      </c>
    </row>
    <row r="559" spans="1:1" x14ac:dyDescent="0.25">
      <c r="A559" s="205" t="s">
        <v>684</v>
      </c>
    </row>
    <row r="560" spans="1:1" x14ac:dyDescent="0.25">
      <c r="A560" s="205" t="s">
        <v>685</v>
      </c>
    </row>
    <row r="561" spans="1:1" x14ac:dyDescent="0.25">
      <c r="A561" s="205" t="s">
        <v>686</v>
      </c>
    </row>
    <row r="562" spans="1:1" x14ac:dyDescent="0.25">
      <c r="A562" s="205" t="s">
        <v>687</v>
      </c>
    </row>
    <row r="563" spans="1:1" x14ac:dyDescent="0.25">
      <c r="A563" s="205" t="s">
        <v>688</v>
      </c>
    </row>
    <row r="564" spans="1:1" x14ac:dyDescent="0.25">
      <c r="A564" s="205" t="s">
        <v>689</v>
      </c>
    </row>
    <row r="565" spans="1:1" x14ac:dyDescent="0.25">
      <c r="A565" s="205" t="s">
        <v>690</v>
      </c>
    </row>
    <row r="566" spans="1:1" x14ac:dyDescent="0.25">
      <c r="A566" s="205" t="s">
        <v>691</v>
      </c>
    </row>
    <row r="567" spans="1:1" x14ac:dyDescent="0.25">
      <c r="A567" s="205" t="s">
        <v>692</v>
      </c>
    </row>
    <row r="568" spans="1:1" x14ac:dyDescent="0.25">
      <c r="A568" s="205" t="s">
        <v>693</v>
      </c>
    </row>
    <row r="569" spans="1:1" x14ac:dyDescent="0.25">
      <c r="A569" s="205" t="s">
        <v>694</v>
      </c>
    </row>
    <row r="570" spans="1:1" x14ac:dyDescent="0.25">
      <c r="A570" s="205" t="s">
        <v>695</v>
      </c>
    </row>
    <row r="571" spans="1:1" x14ac:dyDescent="0.25">
      <c r="A571" s="205" t="s">
        <v>696</v>
      </c>
    </row>
    <row r="572" spans="1:1" x14ac:dyDescent="0.25">
      <c r="A572" s="205" t="s">
        <v>697</v>
      </c>
    </row>
    <row r="573" spans="1:1" x14ac:dyDescent="0.25">
      <c r="A573" s="205" t="s">
        <v>698</v>
      </c>
    </row>
    <row r="574" spans="1:1" x14ac:dyDescent="0.25">
      <c r="A574" s="205" t="s">
        <v>699</v>
      </c>
    </row>
    <row r="575" spans="1:1" x14ac:dyDescent="0.25">
      <c r="A575" s="205" t="s">
        <v>700</v>
      </c>
    </row>
    <row r="576" spans="1:1" x14ac:dyDescent="0.25">
      <c r="A576" s="205" t="s">
        <v>701</v>
      </c>
    </row>
    <row r="577" spans="1:1" x14ac:dyDescent="0.25">
      <c r="A577" s="205" t="s">
        <v>702</v>
      </c>
    </row>
    <row r="578" spans="1:1" x14ac:dyDescent="0.25">
      <c r="A578" s="205" t="s">
        <v>703</v>
      </c>
    </row>
    <row r="579" spans="1:1" x14ac:dyDescent="0.25">
      <c r="A579" s="205" t="s">
        <v>704</v>
      </c>
    </row>
    <row r="580" spans="1:1" x14ac:dyDescent="0.25">
      <c r="A580" s="205" t="s">
        <v>705</v>
      </c>
    </row>
    <row r="581" spans="1:1" x14ac:dyDescent="0.25">
      <c r="A581" s="205" t="s">
        <v>706</v>
      </c>
    </row>
    <row r="582" spans="1:1" x14ac:dyDescent="0.25">
      <c r="A582" s="205" t="s">
        <v>707</v>
      </c>
    </row>
    <row r="583" spans="1:1" x14ac:dyDescent="0.25">
      <c r="A583" s="205" t="s">
        <v>708</v>
      </c>
    </row>
    <row r="584" spans="1:1" x14ac:dyDescent="0.25">
      <c r="A584" s="205" t="s">
        <v>709</v>
      </c>
    </row>
    <row r="585" spans="1:1" x14ac:dyDescent="0.25">
      <c r="A585" s="205" t="s">
        <v>710</v>
      </c>
    </row>
    <row r="586" spans="1:1" x14ac:dyDescent="0.25">
      <c r="A586" s="205" t="s">
        <v>711</v>
      </c>
    </row>
    <row r="587" spans="1:1" x14ac:dyDescent="0.25">
      <c r="A587" s="205" t="s">
        <v>711</v>
      </c>
    </row>
    <row r="588" spans="1:1" x14ac:dyDescent="0.25">
      <c r="A588" s="205" t="s">
        <v>711</v>
      </c>
    </row>
    <row r="589" spans="1:1" x14ac:dyDescent="0.25">
      <c r="A589" s="205" t="s">
        <v>712</v>
      </c>
    </row>
    <row r="590" spans="1:1" x14ac:dyDescent="0.25">
      <c r="A590" s="205" t="s">
        <v>713</v>
      </c>
    </row>
    <row r="591" spans="1:1" x14ac:dyDescent="0.25">
      <c r="A591" s="205" t="s">
        <v>714</v>
      </c>
    </row>
    <row r="592" spans="1:1" x14ac:dyDescent="0.25">
      <c r="A592" s="205" t="s">
        <v>711</v>
      </c>
    </row>
    <row r="593" spans="1:1" x14ac:dyDescent="0.25">
      <c r="A593" s="205" t="s">
        <v>711</v>
      </c>
    </row>
    <row r="594" spans="1:1" x14ac:dyDescent="0.25">
      <c r="A594" s="205" t="s">
        <v>711</v>
      </c>
    </row>
    <row r="595" spans="1:1" x14ac:dyDescent="0.25">
      <c r="A595" s="205" t="s">
        <v>711</v>
      </c>
    </row>
    <row r="596" spans="1:1" x14ac:dyDescent="0.25">
      <c r="A596" s="205" t="s">
        <v>711</v>
      </c>
    </row>
    <row r="597" spans="1:1" x14ac:dyDescent="0.25">
      <c r="A597" s="205" t="s">
        <v>715</v>
      </c>
    </row>
    <row r="598" spans="1:1" x14ac:dyDescent="0.25">
      <c r="A598" s="205" t="s">
        <v>716</v>
      </c>
    </row>
    <row r="599" spans="1:1" x14ac:dyDescent="0.25">
      <c r="A599" s="205" t="s">
        <v>717</v>
      </c>
    </row>
    <row r="600" spans="1:1" x14ac:dyDescent="0.25">
      <c r="A600" s="205" t="s">
        <v>718</v>
      </c>
    </row>
    <row r="601" spans="1:1" x14ac:dyDescent="0.25">
      <c r="A601" s="205" t="s">
        <v>719</v>
      </c>
    </row>
    <row r="602" spans="1:1" x14ac:dyDescent="0.25">
      <c r="A602" s="205" t="s">
        <v>720</v>
      </c>
    </row>
    <row r="603" spans="1:1" x14ac:dyDescent="0.25">
      <c r="A603" s="205" t="s">
        <v>721</v>
      </c>
    </row>
    <row r="604" spans="1:1" x14ac:dyDescent="0.25">
      <c r="A604" s="205" t="s">
        <v>698</v>
      </c>
    </row>
    <row r="605" spans="1:1" x14ac:dyDescent="0.25">
      <c r="A605" s="205" t="s">
        <v>698</v>
      </c>
    </row>
    <row r="606" spans="1:1" x14ac:dyDescent="0.25">
      <c r="A606" s="205" t="s">
        <v>698</v>
      </c>
    </row>
    <row r="607" spans="1:1" x14ac:dyDescent="0.25">
      <c r="A607" s="205" t="s">
        <v>698</v>
      </c>
    </row>
    <row r="608" spans="1:1" x14ac:dyDescent="0.25">
      <c r="A608" s="205" t="s">
        <v>698</v>
      </c>
    </row>
    <row r="609" spans="1:1" x14ac:dyDescent="0.25">
      <c r="A609" s="205" t="s">
        <v>698</v>
      </c>
    </row>
    <row r="610" spans="1:1" x14ac:dyDescent="0.25">
      <c r="A610" s="205" t="s">
        <v>698</v>
      </c>
    </row>
    <row r="611" spans="1:1" x14ac:dyDescent="0.25">
      <c r="A611" s="205" t="s">
        <v>698</v>
      </c>
    </row>
    <row r="612" spans="1:1" x14ac:dyDescent="0.25">
      <c r="A612" s="205" t="s">
        <v>722</v>
      </c>
    </row>
    <row r="613" spans="1:1" x14ac:dyDescent="0.25">
      <c r="A613" s="205" t="s">
        <v>711</v>
      </c>
    </row>
    <row r="614" spans="1:1" x14ac:dyDescent="0.25">
      <c r="A614" s="205" t="s">
        <v>711</v>
      </c>
    </row>
    <row r="615" spans="1:1" x14ac:dyDescent="0.25">
      <c r="A615" s="205" t="s">
        <v>711</v>
      </c>
    </row>
    <row r="616" spans="1:1" x14ac:dyDescent="0.25">
      <c r="A616" s="205" t="s">
        <v>697</v>
      </c>
    </row>
    <row r="617" spans="1:1" x14ac:dyDescent="0.25">
      <c r="A617" s="205" t="s">
        <v>723</v>
      </c>
    </row>
    <row r="618" spans="1:1" x14ac:dyDescent="0.25">
      <c r="A618" s="205" t="s">
        <v>724</v>
      </c>
    </row>
    <row r="619" spans="1:1" x14ac:dyDescent="0.25">
      <c r="A619" s="205" t="s">
        <v>725</v>
      </c>
    </row>
    <row r="620" spans="1:1" x14ac:dyDescent="0.25">
      <c r="A620" s="205" t="s">
        <v>726</v>
      </c>
    </row>
    <row r="621" spans="1:1" x14ac:dyDescent="0.25">
      <c r="A621" s="205" t="s">
        <v>727</v>
      </c>
    </row>
    <row r="622" spans="1:1" x14ac:dyDescent="0.25">
      <c r="A622" s="205" t="s">
        <v>728</v>
      </c>
    </row>
    <row r="623" spans="1:1" x14ac:dyDescent="0.25">
      <c r="A623" s="205" t="s">
        <v>729</v>
      </c>
    </row>
    <row r="624" spans="1:1" x14ac:dyDescent="0.25">
      <c r="A624" s="205" t="s">
        <v>730</v>
      </c>
    </row>
    <row r="625" spans="1:1" x14ac:dyDescent="0.25">
      <c r="A625" s="205" t="s">
        <v>731</v>
      </c>
    </row>
    <row r="626" spans="1:1" x14ac:dyDescent="0.25">
      <c r="A626" s="205" t="s">
        <v>732</v>
      </c>
    </row>
    <row r="627" spans="1:1" x14ac:dyDescent="0.25">
      <c r="A627" s="205" t="s">
        <v>733</v>
      </c>
    </row>
    <row r="628" spans="1:1" x14ac:dyDescent="0.25">
      <c r="A628" s="205" t="s">
        <v>701</v>
      </c>
    </row>
    <row r="629" spans="1:1" x14ac:dyDescent="0.25">
      <c r="A629" s="205" t="s">
        <v>711</v>
      </c>
    </row>
    <row r="630" spans="1:1" x14ac:dyDescent="0.25">
      <c r="A630" s="205" t="s">
        <v>711</v>
      </c>
    </row>
    <row r="631" spans="1:1" x14ac:dyDescent="0.25">
      <c r="A631" s="205" t="s">
        <v>711</v>
      </c>
    </row>
    <row r="632" spans="1:1" x14ac:dyDescent="0.25">
      <c r="A632" s="205" t="s">
        <v>711</v>
      </c>
    </row>
    <row r="633" spans="1:1" x14ac:dyDescent="0.25">
      <c r="A633" s="205" t="s">
        <v>734</v>
      </c>
    </row>
    <row r="634" spans="1:1" x14ac:dyDescent="0.25">
      <c r="A634" s="205" t="s">
        <v>735</v>
      </c>
    </row>
    <row r="635" spans="1:1" x14ac:dyDescent="0.25">
      <c r="A635" s="205" t="s">
        <v>736</v>
      </c>
    </row>
    <row r="636" spans="1:1" x14ac:dyDescent="0.25">
      <c r="A636" s="205" t="s">
        <v>714</v>
      </c>
    </row>
    <row r="637" spans="1:1" x14ac:dyDescent="0.25">
      <c r="A637" s="205" t="s">
        <v>711</v>
      </c>
    </row>
    <row r="638" spans="1:1" x14ac:dyDescent="0.25">
      <c r="A638" s="205" t="s">
        <v>711</v>
      </c>
    </row>
    <row r="639" spans="1:1" x14ac:dyDescent="0.25">
      <c r="A639" s="205" t="s">
        <v>737</v>
      </c>
    </row>
    <row r="640" spans="1:1" x14ac:dyDescent="0.25">
      <c r="A640" s="205" t="s">
        <v>738</v>
      </c>
    </row>
    <row r="641" spans="1:1" x14ac:dyDescent="0.25">
      <c r="A641" s="205" t="s">
        <v>739</v>
      </c>
    </row>
    <row r="642" spans="1:1" x14ac:dyDescent="0.25">
      <c r="A642" s="205" t="s">
        <v>711</v>
      </c>
    </row>
    <row r="643" spans="1:1" x14ac:dyDescent="0.25">
      <c r="A643" s="205" t="s">
        <v>711</v>
      </c>
    </row>
    <row r="644" spans="1:1" x14ac:dyDescent="0.25">
      <c r="A644" s="205" t="s">
        <v>711</v>
      </c>
    </row>
    <row r="645" spans="1:1" x14ac:dyDescent="0.25">
      <c r="A645" s="205" t="s">
        <v>740</v>
      </c>
    </row>
    <row r="646" spans="1:1" x14ac:dyDescent="0.25">
      <c r="A646" s="205" t="s">
        <v>741</v>
      </c>
    </row>
    <row r="647" spans="1:1" x14ac:dyDescent="0.25">
      <c r="A647" s="205" t="s">
        <v>742</v>
      </c>
    </row>
    <row r="648" spans="1:1" x14ac:dyDescent="0.25">
      <c r="A648" s="205" t="s">
        <v>711</v>
      </c>
    </row>
    <row r="649" spans="1:1" x14ac:dyDescent="0.25">
      <c r="A649" s="205" t="s">
        <v>711</v>
      </c>
    </row>
    <row r="650" spans="1:1" x14ac:dyDescent="0.25">
      <c r="A650" s="205" t="s">
        <v>743</v>
      </c>
    </row>
    <row r="651" spans="1:1" x14ac:dyDescent="0.25">
      <c r="A651" s="205" t="s">
        <v>744</v>
      </c>
    </row>
    <row r="652" spans="1:1" x14ac:dyDescent="0.25">
      <c r="A652" s="205" t="s">
        <v>701</v>
      </c>
    </row>
    <row r="653" spans="1:1" x14ac:dyDescent="0.25">
      <c r="A653" s="205" t="s">
        <v>745</v>
      </c>
    </row>
    <row r="654" spans="1:1" x14ac:dyDescent="0.25">
      <c r="A654" s="205" t="s">
        <v>746</v>
      </c>
    </row>
    <row r="655" spans="1:1" x14ac:dyDescent="0.25">
      <c r="A655" s="205" t="s">
        <v>698</v>
      </c>
    </row>
    <row r="656" spans="1:1" x14ac:dyDescent="0.25">
      <c r="A656" s="205" t="s">
        <v>698</v>
      </c>
    </row>
    <row r="657" spans="1:1" x14ac:dyDescent="0.25">
      <c r="A657" s="205" t="s">
        <v>698</v>
      </c>
    </row>
    <row r="658" spans="1:1" x14ac:dyDescent="0.25">
      <c r="A658" s="205" t="s">
        <v>698</v>
      </c>
    </row>
    <row r="659" spans="1:1" x14ac:dyDescent="0.25">
      <c r="A659" s="205" t="s">
        <v>698</v>
      </c>
    </row>
    <row r="660" spans="1:1" x14ac:dyDescent="0.25">
      <c r="A660" s="205" t="s">
        <v>747</v>
      </c>
    </row>
    <row r="661" spans="1:1" x14ac:dyDescent="0.25">
      <c r="A661" s="205" t="s">
        <v>698</v>
      </c>
    </row>
    <row r="662" spans="1:1" x14ac:dyDescent="0.25">
      <c r="A662" s="205" t="s">
        <v>698</v>
      </c>
    </row>
    <row r="663" spans="1:1" x14ac:dyDescent="0.25">
      <c r="A663" s="205" t="s">
        <v>698</v>
      </c>
    </row>
    <row r="664" spans="1:1" x14ac:dyDescent="0.25">
      <c r="A664" s="205" t="s">
        <v>698</v>
      </c>
    </row>
    <row r="665" spans="1:1" x14ac:dyDescent="0.25">
      <c r="A665" s="205" t="s">
        <v>698</v>
      </c>
    </row>
    <row r="666" spans="1:1" x14ac:dyDescent="0.25">
      <c r="A666" s="205" t="s">
        <v>698</v>
      </c>
    </row>
    <row r="667" spans="1:1" x14ac:dyDescent="0.25">
      <c r="A667" s="205" t="s">
        <v>698</v>
      </c>
    </row>
    <row r="668" spans="1:1" x14ac:dyDescent="0.25">
      <c r="A668" s="205" t="s">
        <v>698</v>
      </c>
    </row>
    <row r="669" spans="1:1" x14ac:dyDescent="0.25">
      <c r="A669" s="205" t="s">
        <v>698</v>
      </c>
    </row>
    <row r="670" spans="1:1" x14ac:dyDescent="0.25">
      <c r="A670" s="205" t="s">
        <v>698</v>
      </c>
    </row>
    <row r="671" spans="1:1" x14ac:dyDescent="0.25">
      <c r="A671" s="205" t="s">
        <v>722</v>
      </c>
    </row>
    <row r="672" spans="1:1" x14ac:dyDescent="0.25">
      <c r="A672" s="205" t="s">
        <v>711</v>
      </c>
    </row>
    <row r="673" spans="1:1" x14ac:dyDescent="0.25">
      <c r="A673" s="205" t="s">
        <v>711</v>
      </c>
    </row>
    <row r="674" spans="1:1" x14ac:dyDescent="0.25">
      <c r="A674" s="205" t="s">
        <v>711</v>
      </c>
    </row>
    <row r="675" spans="1:1" x14ac:dyDescent="0.25">
      <c r="A675" s="205" t="s">
        <v>711</v>
      </c>
    </row>
    <row r="676" spans="1:1" x14ac:dyDescent="0.25">
      <c r="A676" s="205" t="s">
        <v>711</v>
      </c>
    </row>
    <row r="677" spans="1:1" x14ac:dyDescent="0.25">
      <c r="A677" s="205" t="s">
        <v>711</v>
      </c>
    </row>
    <row r="678" spans="1:1" x14ac:dyDescent="0.25">
      <c r="A678" s="205" t="s">
        <v>711</v>
      </c>
    </row>
    <row r="679" spans="1:1" x14ac:dyDescent="0.25">
      <c r="A679" s="205" t="s">
        <v>711</v>
      </c>
    </row>
    <row r="680" spans="1:1" x14ac:dyDescent="0.25">
      <c r="A680" s="205" t="s">
        <v>711</v>
      </c>
    </row>
    <row r="681" spans="1:1" x14ac:dyDescent="0.25">
      <c r="A681" s="205" t="s">
        <v>711</v>
      </c>
    </row>
    <row r="682" spans="1:1" x14ac:dyDescent="0.25">
      <c r="A682" s="205" t="s">
        <v>711</v>
      </c>
    </row>
    <row r="683" spans="1:1" x14ac:dyDescent="0.25">
      <c r="A683" s="205" t="s">
        <v>748</v>
      </c>
    </row>
    <row r="684" spans="1:1" x14ac:dyDescent="0.25">
      <c r="A684" s="205" t="s">
        <v>749</v>
      </c>
    </row>
    <row r="685" spans="1:1" x14ac:dyDescent="0.25">
      <c r="A685" s="205" t="s">
        <v>750</v>
      </c>
    </row>
    <row r="686" spans="1:1" x14ac:dyDescent="0.25">
      <c r="A686" s="205" t="s">
        <v>751</v>
      </c>
    </row>
    <row r="687" spans="1:1" x14ac:dyDescent="0.25">
      <c r="A687" s="205" t="s">
        <v>752</v>
      </c>
    </row>
    <row r="688" spans="1:1" x14ac:dyDescent="0.25">
      <c r="A688" s="205" t="s">
        <v>753</v>
      </c>
    </row>
    <row r="689" spans="1:1" x14ac:dyDescent="0.25">
      <c r="A689" s="205" t="s">
        <v>754</v>
      </c>
    </row>
    <row r="690" spans="1:1" x14ac:dyDescent="0.25">
      <c r="A690" s="205" t="s">
        <v>703</v>
      </c>
    </row>
    <row r="691" spans="1:1" x14ac:dyDescent="0.25">
      <c r="A691" s="205" t="s">
        <v>703</v>
      </c>
    </row>
    <row r="692" spans="1:1" x14ac:dyDescent="0.25">
      <c r="A692" s="205" t="s">
        <v>698</v>
      </c>
    </row>
    <row r="693" spans="1:1" x14ac:dyDescent="0.25">
      <c r="A693" s="205" t="s">
        <v>755</v>
      </c>
    </row>
    <row r="694" spans="1:1" x14ac:dyDescent="0.25">
      <c r="A694" s="205" t="s">
        <v>703</v>
      </c>
    </row>
    <row r="695" spans="1:1" x14ac:dyDescent="0.25">
      <c r="A695" s="205" t="s">
        <v>698</v>
      </c>
    </row>
    <row r="696" spans="1:1" x14ac:dyDescent="0.25">
      <c r="A696" s="205" t="s">
        <v>698</v>
      </c>
    </row>
    <row r="697" spans="1:1" x14ac:dyDescent="0.25">
      <c r="A697" s="205" t="s">
        <v>698</v>
      </c>
    </row>
    <row r="698" spans="1:1" x14ac:dyDescent="0.25">
      <c r="A698" s="205" t="s">
        <v>749</v>
      </c>
    </row>
    <row r="699" spans="1:1" x14ac:dyDescent="0.25">
      <c r="A699" s="205" t="s">
        <v>756</v>
      </c>
    </row>
    <row r="700" spans="1:1" x14ac:dyDescent="0.25">
      <c r="A700" s="205" t="s">
        <v>698</v>
      </c>
    </row>
    <row r="701" spans="1:1" x14ac:dyDescent="0.25">
      <c r="A701" s="205" t="s">
        <v>698</v>
      </c>
    </row>
    <row r="702" spans="1:1" x14ac:dyDescent="0.25">
      <c r="A702" s="205" t="s">
        <v>749</v>
      </c>
    </row>
    <row r="703" spans="1:1" x14ac:dyDescent="0.25">
      <c r="A703" s="205" t="s">
        <v>703</v>
      </c>
    </row>
    <row r="704" spans="1:1" x14ac:dyDescent="0.25">
      <c r="A704" s="205" t="s">
        <v>698</v>
      </c>
    </row>
    <row r="705" spans="1:1" x14ac:dyDescent="0.25">
      <c r="A705" s="205" t="s">
        <v>698</v>
      </c>
    </row>
    <row r="706" spans="1:1" x14ac:dyDescent="0.25">
      <c r="A706" s="205" t="s">
        <v>757</v>
      </c>
    </row>
    <row r="707" spans="1:1" x14ac:dyDescent="0.25">
      <c r="A707" s="205" t="s">
        <v>703</v>
      </c>
    </row>
    <row r="708" spans="1:1" x14ac:dyDescent="0.25">
      <c r="A708" s="205" t="s">
        <v>758</v>
      </c>
    </row>
    <row r="709" spans="1:1" x14ac:dyDescent="0.25">
      <c r="A709" s="205" t="s">
        <v>698</v>
      </c>
    </row>
    <row r="710" spans="1:1" x14ac:dyDescent="0.25">
      <c r="A710" s="205" t="s">
        <v>749</v>
      </c>
    </row>
    <row r="711" spans="1:1" x14ac:dyDescent="0.25">
      <c r="A711" s="205" t="s">
        <v>703</v>
      </c>
    </row>
    <row r="712" spans="1:1" x14ac:dyDescent="0.25">
      <c r="A712" s="205" t="s">
        <v>759</v>
      </c>
    </row>
    <row r="713" spans="1:1" x14ac:dyDescent="0.25">
      <c r="A713" s="205" t="s">
        <v>698</v>
      </c>
    </row>
    <row r="714" spans="1:1" x14ac:dyDescent="0.25">
      <c r="A714" s="205" t="s">
        <v>748</v>
      </c>
    </row>
    <row r="715" spans="1:1" x14ac:dyDescent="0.25">
      <c r="A715" s="205" t="s">
        <v>698</v>
      </c>
    </row>
    <row r="716" spans="1:1" x14ac:dyDescent="0.25">
      <c r="A716" s="205" t="s">
        <v>698</v>
      </c>
    </row>
    <row r="717" spans="1:1" x14ac:dyDescent="0.25">
      <c r="A717" s="205" t="s">
        <v>698</v>
      </c>
    </row>
    <row r="718" spans="1:1" x14ac:dyDescent="0.25">
      <c r="A718" s="205" t="s">
        <v>698</v>
      </c>
    </row>
    <row r="719" spans="1:1" x14ac:dyDescent="0.25">
      <c r="A719" s="205" t="s">
        <v>757</v>
      </c>
    </row>
    <row r="720" spans="1:1" x14ac:dyDescent="0.25">
      <c r="A720" s="205" t="s">
        <v>703</v>
      </c>
    </row>
    <row r="721" spans="1:1" x14ac:dyDescent="0.25">
      <c r="A721" s="205" t="s">
        <v>756</v>
      </c>
    </row>
    <row r="722" spans="1:1" x14ac:dyDescent="0.25">
      <c r="A722" s="205" t="s">
        <v>759</v>
      </c>
    </row>
    <row r="723" spans="1:1" x14ac:dyDescent="0.25">
      <c r="A723" s="205" t="s">
        <v>757</v>
      </c>
    </row>
    <row r="724" spans="1:1" x14ac:dyDescent="0.25">
      <c r="A724" s="205" t="s">
        <v>760</v>
      </c>
    </row>
    <row r="725" spans="1:1" x14ac:dyDescent="0.25">
      <c r="A725" s="205" t="s">
        <v>742</v>
      </c>
    </row>
    <row r="726" spans="1:1" x14ac:dyDescent="0.25">
      <c r="A726" s="205" t="s">
        <v>711</v>
      </c>
    </row>
    <row r="727" spans="1:1" x14ac:dyDescent="0.25">
      <c r="A727" s="205" t="s">
        <v>711</v>
      </c>
    </row>
    <row r="728" spans="1:1" x14ac:dyDescent="0.25">
      <c r="A728" s="205" t="s">
        <v>711</v>
      </c>
    </row>
    <row r="729" spans="1:1" x14ac:dyDescent="0.25">
      <c r="A729" s="205" t="s">
        <v>711</v>
      </c>
    </row>
    <row r="730" spans="1:1" x14ac:dyDescent="0.25">
      <c r="A730" s="205" t="s">
        <v>711</v>
      </c>
    </row>
    <row r="731" spans="1:1" x14ac:dyDescent="0.25">
      <c r="A731" s="205" t="s">
        <v>761</v>
      </c>
    </row>
    <row r="732" spans="1:1" x14ac:dyDescent="0.25">
      <c r="A732" s="205" t="s">
        <v>762</v>
      </c>
    </row>
    <row r="733" spans="1:1" x14ac:dyDescent="0.25">
      <c r="A733" s="205" t="s">
        <v>763</v>
      </c>
    </row>
    <row r="734" spans="1:1" x14ac:dyDescent="0.25">
      <c r="A734" s="205" t="s">
        <v>711</v>
      </c>
    </row>
    <row r="735" spans="1:1" x14ac:dyDescent="0.25">
      <c r="A735" s="205" t="s">
        <v>711</v>
      </c>
    </row>
    <row r="736" spans="1:1" x14ac:dyDescent="0.25">
      <c r="A736" s="205" t="s">
        <v>968</v>
      </c>
    </row>
    <row r="737" spans="1:1" x14ac:dyDescent="0.25">
      <c r="A737" s="205" t="s">
        <v>254</v>
      </c>
    </row>
    <row r="738" spans="1:1" x14ac:dyDescent="0.25">
      <c r="A738" s="205" t="s">
        <v>281</v>
      </c>
    </row>
    <row r="739" spans="1:1" x14ac:dyDescent="0.25">
      <c r="A739" s="205" t="s">
        <v>263</v>
      </c>
    </row>
    <row r="740" spans="1:1" x14ac:dyDescent="0.25">
      <c r="A740" s="205" t="s">
        <v>264</v>
      </c>
    </row>
    <row r="741" spans="1:1" x14ac:dyDescent="0.25">
      <c r="A741" s="205" t="s">
        <v>258</v>
      </c>
    </row>
    <row r="742" spans="1:1" x14ac:dyDescent="0.25">
      <c r="A742" s="205" t="s">
        <v>248</v>
      </c>
    </row>
    <row r="743" spans="1:1" x14ac:dyDescent="0.25">
      <c r="A743" s="205" t="s">
        <v>265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459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PFM_test_ver_19.json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PFM_test_ver_19.out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285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456</v>
      </c>
      <c r="C10" s="18"/>
      <c r="D10" s="19"/>
      <c r="E10" s="20" t="str">
        <f>A10&amp;CHAR(34)&amp;B10&amp;CHAR(34)</f>
        <v>"OD"</v>
      </c>
    </row>
    <row r="11" spans="1:5" x14ac:dyDescent="0.25">
      <c r="A11" s="1" t="str">
        <f>IF(LDQA_IQA=0,"",CHAR(34)&amp;"flaw orientation"&amp;CHAR(34)&amp;" : ")</f>
        <v/>
      </c>
      <c r="B11" s="23" t="s">
        <v>286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282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3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288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1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1</v>
      </c>
      <c r="C22" s="18"/>
      <c r="D22" s="19"/>
      <c r="E22" s="20" t="str">
        <f>A22&amp;IF(B22="no","false","true")</f>
        <v>"child subregion reports" : false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460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20073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218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1</v>
      </c>
      <c r="C28" s="18"/>
      <c r="D28" s="19"/>
      <c r="E28" s="20" t="str">
        <f>A28&amp;IF(B28="no","false","true")</f>
        <v>"ductile tearing model" : false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1</v>
      </c>
      <c r="C29" s="18"/>
      <c r="D29" s="19" t="str">
        <f>IF(B29="yes","WARNING: large increase in calculation time","")</f>
        <v/>
      </c>
      <c r="E29" s="20" t="str">
        <f>A29&amp;IF(B29="no","false","true")</f>
        <v>"ductile tearing checks" : false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283</v>
      </c>
      <c r="C30" s="18"/>
      <c r="D30" s="19" t="str">
        <f>IF(B30="yes","WARNING: output may become very large","")</f>
        <v/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284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457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54</v>
      </c>
      <c r="C34" s="18"/>
      <c r="D34" s="19"/>
      <c r="E34" s="20" t="str">
        <f>A34&amp;IF(B34="no","false","true")</f>
        <v>"resampling" : true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1</v>
      </c>
      <c r="C52" s="18"/>
      <c r="D52" s="19" t="str">
        <f>IF(B52="no","Ignore other inputs in this 'Flaw tracking'","Fill out 'Flaw Tracking'")</f>
        <v>Ignore other inputs in this 'Flaw tracking'</v>
      </c>
      <c r="E52" s="20" t="str">
        <f>A52&amp;IF(B52="no","false","true")</f>
        <v>"flaw log tables" : false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1</v>
      </c>
      <c r="C58" s="18"/>
      <c r="D58" s="19" t="str">
        <f>IF(B58="yes","Fill table below","")</f>
        <v/>
      </c>
      <c r="E58" s="20" t="str">
        <f>A58&amp;IF(B58="no",0,COUNT($A$62:$A$1048576))</f>
        <v>"analysis time interval specification" : 0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3" t="s">
        <v>231</v>
      </c>
      <c r="D60" s="23" t="s">
        <v>231</v>
      </c>
    </row>
    <row r="61" spans="1:5" x14ac:dyDescent="0.25">
      <c r="A61" s="86" t="str">
        <f>IF(B58="yes","PFM Transient Number (from FAVLoad)","")</f>
        <v/>
      </c>
      <c r="B61" s="86" t="str">
        <f>IF(B58="yes","Thermal-Hydraulic Sequence Number (from FAVLoad)","")</f>
        <v/>
      </c>
      <c r="C61" s="87" t="str">
        <f>IF(B58="yes","PFM Analysis Start Time","")</f>
        <v/>
      </c>
      <c r="D61" s="87" t="str">
        <f>IF(B58="yes","PFM Analysis End Time","")</f>
        <v/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268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218</v>
      </c>
      <c r="N15" s="13" t="s">
        <v>218</v>
      </c>
      <c r="O15" s="93" t="s">
        <v>100</v>
      </c>
      <c r="P15" s="93" t="s">
        <v>266</v>
      </c>
      <c r="Q15" s="13" t="s">
        <v>33</v>
      </c>
      <c r="R15" s="93" t="s">
        <v>267</v>
      </c>
      <c r="S15" s="93" t="s">
        <v>100</v>
      </c>
      <c r="T15" s="93" t="s">
        <v>100</v>
      </c>
      <c r="U15" s="93" t="s">
        <v>287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2.9624999999999999</v>
      </c>
      <c r="G16" s="175">
        <v>0.21299999999999999</v>
      </c>
      <c r="H16" s="175">
        <v>1.01</v>
      </c>
      <c r="I16" s="175">
        <v>1.9E-2</v>
      </c>
      <c r="J16" s="175">
        <v>1</v>
      </c>
      <c r="K16" s="94">
        <v>1</v>
      </c>
      <c r="L16" s="94">
        <v>0</v>
      </c>
      <c r="M16" s="176">
        <v>-56</v>
      </c>
      <c r="N16" s="176">
        <v>17</v>
      </c>
      <c r="O16" s="94">
        <v>11</v>
      </c>
      <c r="P16" s="94">
        <v>0.95799999999999996</v>
      </c>
      <c r="Q16" s="175">
        <v>60.71</v>
      </c>
      <c r="R16" s="175">
        <v>516</v>
      </c>
      <c r="S16" s="94">
        <v>1</v>
      </c>
      <c r="T16" s="94">
        <v>0</v>
      </c>
      <c r="U16" s="175">
        <v>0</v>
      </c>
    </row>
    <row r="17" spans="1:21" x14ac:dyDescent="0.25">
      <c r="A17" s="94" t="s">
        <v>71</v>
      </c>
      <c r="B17" s="83">
        <v>2</v>
      </c>
      <c r="C17" s="94">
        <v>9</v>
      </c>
      <c r="D17" s="94">
        <v>10</v>
      </c>
      <c r="E17" s="94">
        <v>2</v>
      </c>
      <c r="F17" s="175">
        <v>3.8089</v>
      </c>
      <c r="G17" s="175">
        <v>0.21299999999999999</v>
      </c>
      <c r="H17" s="175">
        <v>1.01</v>
      </c>
      <c r="I17" s="175">
        <v>1.9E-2</v>
      </c>
      <c r="J17" s="175">
        <v>1</v>
      </c>
      <c r="K17" s="94">
        <v>1</v>
      </c>
      <c r="L17" s="94">
        <v>0</v>
      </c>
      <c r="M17" s="176">
        <v>-56</v>
      </c>
      <c r="N17" s="176">
        <v>17</v>
      </c>
      <c r="O17" s="94">
        <v>11</v>
      </c>
      <c r="P17" s="94">
        <v>0.95799999999999996</v>
      </c>
      <c r="Q17" s="175">
        <v>60.71</v>
      </c>
      <c r="R17" s="175">
        <v>516</v>
      </c>
      <c r="S17" s="94">
        <v>1</v>
      </c>
      <c r="T17" s="94">
        <v>0</v>
      </c>
      <c r="U17" s="175">
        <v>0</v>
      </c>
    </row>
    <row r="18" spans="1:21" x14ac:dyDescent="0.25">
      <c r="A18" s="94" t="s">
        <v>71</v>
      </c>
      <c r="B18" s="83">
        <v>3</v>
      </c>
      <c r="C18" s="94">
        <v>10</v>
      </c>
      <c r="D18" s="94">
        <v>8</v>
      </c>
      <c r="E18" s="94">
        <v>3</v>
      </c>
      <c r="F18" s="175">
        <v>3.8089</v>
      </c>
      <c r="G18" s="175">
        <v>0.21299999999999999</v>
      </c>
      <c r="H18" s="175">
        <v>1.01</v>
      </c>
      <c r="I18" s="175">
        <v>1.9E-2</v>
      </c>
      <c r="J18" s="175">
        <v>1</v>
      </c>
      <c r="K18" s="94">
        <v>1</v>
      </c>
      <c r="L18" s="94">
        <v>0</v>
      </c>
      <c r="M18" s="176">
        <v>-56</v>
      </c>
      <c r="N18" s="176">
        <v>17</v>
      </c>
      <c r="O18" s="94">
        <v>11</v>
      </c>
      <c r="P18" s="94">
        <v>0.95799999999999996</v>
      </c>
      <c r="Q18" s="175">
        <v>60.71</v>
      </c>
      <c r="R18" s="175">
        <v>516</v>
      </c>
      <c r="S18" s="94">
        <v>1</v>
      </c>
      <c r="T18" s="94">
        <v>0</v>
      </c>
      <c r="U18" s="175">
        <v>0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3.8553999999999999</v>
      </c>
      <c r="G19" s="175">
        <v>0.21299999999999999</v>
      </c>
      <c r="H19" s="175">
        <v>1.01</v>
      </c>
      <c r="I19" s="175">
        <v>1.9E-2</v>
      </c>
      <c r="J19" s="175">
        <v>1</v>
      </c>
      <c r="K19" s="94">
        <v>1</v>
      </c>
      <c r="L19" s="94">
        <v>0</v>
      </c>
      <c r="M19" s="176">
        <v>-56</v>
      </c>
      <c r="N19" s="176">
        <v>17</v>
      </c>
      <c r="O19" s="94">
        <v>11</v>
      </c>
      <c r="P19" s="94">
        <v>1.1579999999999999</v>
      </c>
      <c r="Q19" s="175">
        <v>93.98</v>
      </c>
      <c r="R19" s="175">
        <v>799</v>
      </c>
      <c r="S19" s="94">
        <v>1</v>
      </c>
      <c r="T19" s="94">
        <v>0</v>
      </c>
      <c r="U19" s="175">
        <v>0</v>
      </c>
    </row>
    <row r="20" spans="1:21" x14ac:dyDescent="0.25">
      <c r="A20" s="94" t="s">
        <v>71</v>
      </c>
      <c r="B20" s="83">
        <v>5</v>
      </c>
      <c r="C20" s="94">
        <v>12</v>
      </c>
      <c r="D20" s="94">
        <v>13</v>
      </c>
      <c r="E20" s="94">
        <v>5</v>
      </c>
      <c r="F20" s="175">
        <v>2.9891999999999999</v>
      </c>
      <c r="G20" s="175">
        <v>0.21299999999999999</v>
      </c>
      <c r="H20" s="175">
        <v>1.01</v>
      </c>
      <c r="I20" s="175">
        <v>1.9E-2</v>
      </c>
      <c r="J20" s="175">
        <v>1</v>
      </c>
      <c r="K20" s="94">
        <v>1</v>
      </c>
      <c r="L20" s="94">
        <v>0</v>
      </c>
      <c r="M20" s="176">
        <v>-56</v>
      </c>
      <c r="N20" s="176">
        <v>17</v>
      </c>
      <c r="O20" s="94">
        <v>11</v>
      </c>
      <c r="P20" s="94">
        <v>1.1579999999999999</v>
      </c>
      <c r="Q20" s="175">
        <v>93.98</v>
      </c>
      <c r="R20" s="175">
        <v>799</v>
      </c>
      <c r="S20" s="94">
        <v>1</v>
      </c>
      <c r="T20" s="94">
        <v>0</v>
      </c>
      <c r="U20" s="175">
        <v>0</v>
      </c>
    </row>
    <row r="21" spans="1:21" x14ac:dyDescent="0.25">
      <c r="A21" s="94" t="s">
        <v>71</v>
      </c>
      <c r="B21" s="83">
        <v>6</v>
      </c>
      <c r="C21" s="94">
        <v>13</v>
      </c>
      <c r="D21" s="94">
        <v>11</v>
      </c>
      <c r="E21" s="94">
        <v>6</v>
      </c>
      <c r="F21" s="175">
        <v>3.8553999999999999</v>
      </c>
      <c r="G21" s="175">
        <v>0.21299999999999999</v>
      </c>
      <c r="H21" s="175">
        <v>1.01</v>
      </c>
      <c r="I21" s="175">
        <v>1.9E-2</v>
      </c>
      <c r="J21" s="175">
        <v>1</v>
      </c>
      <c r="K21" s="94">
        <v>1</v>
      </c>
      <c r="L21" s="94">
        <v>0</v>
      </c>
      <c r="M21" s="176">
        <v>-56</v>
      </c>
      <c r="N21" s="176">
        <v>17</v>
      </c>
      <c r="O21" s="94">
        <v>11</v>
      </c>
      <c r="P21" s="94">
        <v>1.1579999999999999</v>
      </c>
      <c r="Q21" s="175">
        <v>93.98</v>
      </c>
      <c r="R21" s="175">
        <v>799</v>
      </c>
      <c r="S21" s="94">
        <v>1</v>
      </c>
      <c r="T21" s="94">
        <v>0</v>
      </c>
      <c r="U21" s="175">
        <v>0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4.8502000000000001</v>
      </c>
      <c r="G22" s="175">
        <v>0.20300000000000001</v>
      </c>
      <c r="H22" s="175">
        <v>1.018</v>
      </c>
      <c r="I22" s="175">
        <v>1.2999999999999999E-2</v>
      </c>
      <c r="J22" s="175">
        <v>1</v>
      </c>
      <c r="K22" s="94">
        <v>2</v>
      </c>
      <c r="L22" s="94">
        <v>0</v>
      </c>
      <c r="M22" s="176">
        <v>-56</v>
      </c>
      <c r="N22" s="176">
        <v>17</v>
      </c>
      <c r="O22" s="94">
        <v>11</v>
      </c>
      <c r="P22" s="94">
        <v>360</v>
      </c>
      <c r="Q22" s="175">
        <v>1.31</v>
      </c>
      <c r="R22" s="175">
        <v>4833</v>
      </c>
      <c r="S22" s="94">
        <v>2</v>
      </c>
      <c r="T22" s="94">
        <v>0</v>
      </c>
      <c r="U22" s="175">
        <v>0</v>
      </c>
    </row>
    <row r="23" spans="1:21" x14ac:dyDescent="0.25">
      <c r="A23" s="94" t="s">
        <v>289</v>
      </c>
      <c r="B23" s="83">
        <v>8</v>
      </c>
      <c r="C23" s="94">
        <v>8</v>
      </c>
      <c r="D23" s="94">
        <v>8</v>
      </c>
      <c r="E23" s="94">
        <v>8</v>
      </c>
      <c r="F23" s="175">
        <v>4.8456000000000001</v>
      </c>
      <c r="G23" s="175">
        <v>0.19</v>
      </c>
      <c r="H23" s="175">
        <v>0.48</v>
      </c>
      <c r="I23" s="175">
        <v>1.6E-2</v>
      </c>
      <c r="J23" s="175">
        <v>1</v>
      </c>
      <c r="K23" s="94">
        <v>1</v>
      </c>
      <c r="L23" s="94">
        <v>0</v>
      </c>
      <c r="M23" s="176">
        <v>0</v>
      </c>
      <c r="N23" s="176">
        <v>17</v>
      </c>
      <c r="O23" s="94">
        <v>21</v>
      </c>
      <c r="P23" s="94">
        <v>119</v>
      </c>
      <c r="Q23" s="175">
        <v>60.71</v>
      </c>
      <c r="R23" s="175">
        <v>0</v>
      </c>
      <c r="S23" s="94">
        <v>0</v>
      </c>
      <c r="T23" s="94">
        <v>0</v>
      </c>
      <c r="U23" s="175">
        <v>0</v>
      </c>
    </row>
    <row r="24" spans="1:21" x14ac:dyDescent="0.25">
      <c r="A24" s="94" t="s">
        <v>289</v>
      </c>
      <c r="B24" s="83">
        <v>9</v>
      </c>
      <c r="C24" s="94">
        <v>9</v>
      </c>
      <c r="D24" s="94">
        <v>9</v>
      </c>
      <c r="E24" s="94">
        <v>9</v>
      </c>
      <c r="F24" s="175">
        <v>4.8456000000000001</v>
      </c>
      <c r="G24" s="175">
        <v>0.19</v>
      </c>
      <c r="H24" s="175">
        <v>0.5</v>
      </c>
      <c r="I24" s="175">
        <v>1.4999999999999999E-2</v>
      </c>
      <c r="J24" s="175">
        <v>1</v>
      </c>
      <c r="K24" s="94">
        <v>1</v>
      </c>
      <c r="L24" s="94">
        <v>0</v>
      </c>
      <c r="M24" s="176">
        <v>-30</v>
      </c>
      <c r="N24" s="176">
        <v>17</v>
      </c>
      <c r="O24" s="94">
        <v>21</v>
      </c>
      <c r="P24" s="94">
        <v>119</v>
      </c>
      <c r="Q24" s="175">
        <v>60.71</v>
      </c>
      <c r="R24" s="175">
        <v>0</v>
      </c>
      <c r="S24" s="94">
        <v>0</v>
      </c>
      <c r="T24" s="94">
        <v>0</v>
      </c>
      <c r="U24" s="175">
        <v>0</v>
      </c>
    </row>
    <row r="25" spans="1:21" x14ac:dyDescent="0.25">
      <c r="A25" s="94" t="s">
        <v>289</v>
      </c>
      <c r="B25" s="83">
        <v>10</v>
      </c>
      <c r="C25" s="94">
        <v>10</v>
      </c>
      <c r="D25" s="94">
        <v>10</v>
      </c>
      <c r="E25" s="94">
        <v>10</v>
      </c>
      <c r="F25" s="175">
        <v>4.8456000000000001</v>
      </c>
      <c r="G25" s="175">
        <v>0.12</v>
      </c>
      <c r="H25" s="175">
        <v>0.55000000000000004</v>
      </c>
      <c r="I25" s="175">
        <v>0.01</v>
      </c>
      <c r="J25" s="175">
        <v>1</v>
      </c>
      <c r="K25" s="94">
        <v>1</v>
      </c>
      <c r="L25" s="94">
        <v>0</v>
      </c>
      <c r="M25" s="176">
        <v>-25</v>
      </c>
      <c r="N25" s="176">
        <v>17</v>
      </c>
      <c r="O25" s="94">
        <v>21</v>
      </c>
      <c r="P25" s="94">
        <v>119</v>
      </c>
      <c r="Q25" s="175">
        <v>60.71</v>
      </c>
      <c r="R25" s="175">
        <v>0</v>
      </c>
      <c r="S25" s="94">
        <v>0</v>
      </c>
      <c r="T25" s="94">
        <v>0</v>
      </c>
      <c r="U25" s="175">
        <v>0</v>
      </c>
    </row>
    <row r="26" spans="1:21" x14ac:dyDescent="0.25">
      <c r="A26" s="94" t="s">
        <v>289</v>
      </c>
      <c r="B26" s="83">
        <v>11</v>
      </c>
      <c r="C26" s="94">
        <v>11</v>
      </c>
      <c r="D26" s="94">
        <v>11</v>
      </c>
      <c r="E26" s="94">
        <v>11</v>
      </c>
      <c r="F26" s="175">
        <v>4.9015000000000004</v>
      </c>
      <c r="G26" s="175">
        <v>0.24</v>
      </c>
      <c r="H26" s="175">
        <v>0.51</v>
      </c>
      <c r="I26" s="175">
        <v>8.9999999999999993E-3</v>
      </c>
      <c r="J26" s="175">
        <v>1</v>
      </c>
      <c r="K26" s="94">
        <v>1</v>
      </c>
      <c r="L26" s="94">
        <v>0</v>
      </c>
      <c r="M26" s="176">
        <v>-5</v>
      </c>
      <c r="N26" s="176">
        <v>17</v>
      </c>
      <c r="O26" s="94">
        <v>21</v>
      </c>
      <c r="P26" s="94">
        <v>118.8</v>
      </c>
      <c r="Q26" s="175">
        <v>93.98</v>
      </c>
      <c r="R26" s="175">
        <v>0</v>
      </c>
      <c r="S26" s="94">
        <v>0</v>
      </c>
      <c r="T26" s="94">
        <v>0</v>
      </c>
      <c r="U26" s="175">
        <v>0</v>
      </c>
    </row>
    <row r="27" spans="1:21" x14ac:dyDescent="0.25">
      <c r="A27" s="94" t="s">
        <v>289</v>
      </c>
      <c r="B27" s="83">
        <v>12</v>
      </c>
      <c r="C27" s="94">
        <v>12</v>
      </c>
      <c r="D27" s="94">
        <v>12</v>
      </c>
      <c r="E27" s="94">
        <v>12</v>
      </c>
      <c r="F27" s="175">
        <v>4.9015000000000004</v>
      </c>
      <c r="G27" s="175">
        <v>0.24</v>
      </c>
      <c r="H27" s="175">
        <v>0.52</v>
      </c>
      <c r="I27" s="175">
        <v>0.01</v>
      </c>
      <c r="J27" s="175">
        <v>1</v>
      </c>
      <c r="K27" s="94">
        <v>1</v>
      </c>
      <c r="L27" s="94">
        <v>0</v>
      </c>
      <c r="M27" s="176">
        <v>-30</v>
      </c>
      <c r="N27" s="176">
        <v>17</v>
      </c>
      <c r="O27" s="94">
        <v>21</v>
      </c>
      <c r="P27" s="94">
        <v>118.8</v>
      </c>
      <c r="Q27" s="175">
        <v>93.98</v>
      </c>
      <c r="R27" s="175">
        <v>0</v>
      </c>
      <c r="S27" s="94">
        <v>0</v>
      </c>
      <c r="T27" s="94">
        <v>0</v>
      </c>
      <c r="U27" s="175">
        <v>0</v>
      </c>
    </row>
    <row r="28" spans="1:21" x14ac:dyDescent="0.25">
      <c r="A28" s="94" t="s">
        <v>289</v>
      </c>
      <c r="B28" s="83">
        <v>13</v>
      </c>
      <c r="C28" s="94">
        <v>13</v>
      </c>
      <c r="D28" s="94">
        <v>13</v>
      </c>
      <c r="E28" s="94">
        <v>13</v>
      </c>
      <c r="F28" s="175">
        <v>4.9015000000000004</v>
      </c>
      <c r="G28" s="175">
        <v>0.24</v>
      </c>
      <c r="H28" s="175">
        <v>0.5</v>
      </c>
      <c r="I28" s="175">
        <v>1.0999999999999999E-2</v>
      </c>
      <c r="J28" s="175">
        <v>1</v>
      </c>
      <c r="K28" s="94">
        <v>1</v>
      </c>
      <c r="L28" s="94">
        <v>0</v>
      </c>
      <c r="M28" s="176">
        <v>-5</v>
      </c>
      <c r="N28" s="176">
        <v>17</v>
      </c>
      <c r="O28" s="94">
        <v>21</v>
      </c>
      <c r="P28" s="94">
        <v>118.8</v>
      </c>
      <c r="Q28" s="175">
        <v>93.98</v>
      </c>
      <c r="R28" s="175">
        <v>0</v>
      </c>
      <c r="S28" s="94">
        <v>0</v>
      </c>
      <c r="T28" s="94">
        <v>0</v>
      </c>
      <c r="U28" s="175">
        <v>0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O16 O17 O18 O19 O20 O21 O22 O23 O24 O25 O26 O27 O28" xr:uid="{88B8F717-4CA9-437F-A209-32AC3A7D813E}">
      <formula1>"11.weld major region,21.plate major region,31.forging major region,11,21,31"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20"/>
  <sheetViews>
    <sheetView zoomScaleNormal="100" workbookViewId="0">
      <pane ySplit="7" topLeftCell="A110" activePane="bottomLeft" state="frozen"/>
      <selection pane="bottomLeft" sqref="A1:A320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321</v>
      </c>
    </row>
    <row r="3" spans="1:1" x14ac:dyDescent="0.25">
      <c r="A3" s="205" t="s">
        <v>336</v>
      </c>
    </row>
    <row r="4" spans="1:1" x14ac:dyDescent="0.25">
      <c r="A4" s="205" t="s">
        <v>337</v>
      </c>
    </row>
    <row r="5" spans="1:1" x14ac:dyDescent="0.25">
      <c r="A5" s="205" t="s">
        <v>338</v>
      </c>
    </row>
    <row r="6" spans="1:1" x14ac:dyDescent="0.25">
      <c r="A6" s="205" t="s">
        <v>339</v>
      </c>
    </row>
    <row r="7" spans="1:1" x14ac:dyDescent="0.25">
      <c r="A7" s="205" t="s">
        <v>340</v>
      </c>
    </row>
    <row r="8" spans="1:1" x14ac:dyDescent="0.25">
      <c r="A8" s="205" t="s">
        <v>454</v>
      </c>
    </row>
    <row r="9" spans="1:1" x14ac:dyDescent="0.25">
      <c r="A9" s="205" t="s">
        <v>341</v>
      </c>
    </row>
    <row r="10" spans="1:1" x14ac:dyDescent="0.25">
      <c r="A10" s="205" t="s">
        <v>455</v>
      </c>
    </row>
    <row r="11" spans="1:1" x14ac:dyDescent="0.25">
      <c r="A11" s="205" t="s">
        <v>461</v>
      </c>
    </row>
    <row r="12" spans="1:1" x14ac:dyDescent="0.25">
      <c r="A12" s="205" t="s">
        <v>342</v>
      </c>
    </row>
    <row r="13" spans="1:1" x14ac:dyDescent="0.25">
      <c r="A13" s="205" t="s">
        <v>343</v>
      </c>
    </row>
    <row r="14" spans="1:1" x14ac:dyDescent="0.25">
      <c r="A14" s="205" t="s">
        <v>344</v>
      </c>
    </row>
    <row r="15" spans="1:1" x14ac:dyDescent="0.25">
      <c r="A15" s="205" t="s">
        <v>345</v>
      </c>
    </row>
    <row r="16" spans="1:1" x14ac:dyDescent="0.25">
      <c r="A16" s="205" t="s">
        <v>346</v>
      </c>
    </row>
    <row r="17" spans="1:1" x14ac:dyDescent="0.25">
      <c r="A17" s="205" t="s">
        <v>347</v>
      </c>
    </row>
    <row r="18" spans="1:1" x14ac:dyDescent="0.25">
      <c r="A18" s="205" t="s">
        <v>348</v>
      </c>
    </row>
    <row r="19" spans="1:1" x14ac:dyDescent="0.25">
      <c r="A19" s="205" t="s">
        <v>458</v>
      </c>
    </row>
    <row r="20" spans="1:1" x14ac:dyDescent="0.25">
      <c r="A20" s="205" t="s">
        <v>349</v>
      </c>
    </row>
    <row r="21" spans="1:1" x14ac:dyDescent="0.25">
      <c r="A21" s="205" t="s">
        <v>350</v>
      </c>
    </row>
    <row r="22" spans="1:1" x14ac:dyDescent="0.25">
      <c r="A22" s="205" t="s">
        <v>351</v>
      </c>
    </row>
    <row r="23" spans="1:1" x14ac:dyDescent="0.25">
      <c r="A23" s="205" t="s">
        <v>352</v>
      </c>
    </row>
    <row r="24" spans="1:1" x14ac:dyDescent="0.25">
      <c r="A24" s="205" t="s">
        <v>353</v>
      </c>
    </row>
    <row r="25" spans="1:1" x14ac:dyDescent="0.25">
      <c r="A25" s="205" t="s">
        <v>354</v>
      </c>
    </row>
    <row r="26" spans="1:1" x14ac:dyDescent="0.25">
      <c r="A26" s="205" t="s">
        <v>355</v>
      </c>
    </row>
    <row r="27" spans="1:1" x14ac:dyDescent="0.25">
      <c r="A27" s="205" t="s">
        <v>356</v>
      </c>
    </row>
    <row r="28" spans="1:1" x14ac:dyDescent="0.25">
      <c r="A28" s="205" t="s">
        <v>357</v>
      </c>
    </row>
    <row r="29" spans="1:1" x14ac:dyDescent="0.25">
      <c r="A29" s="205" t="s">
        <v>358</v>
      </c>
    </row>
    <row r="30" spans="1:1" x14ac:dyDescent="0.25">
      <c r="A30" s="205" t="s">
        <v>210</v>
      </c>
    </row>
    <row r="31" spans="1:1" x14ac:dyDescent="0.25">
      <c r="A31" s="205" t="s">
        <v>359</v>
      </c>
    </row>
    <row r="32" spans="1:1" x14ac:dyDescent="0.25">
      <c r="A32" s="205" t="s">
        <v>251</v>
      </c>
    </row>
    <row r="33" spans="1:1" x14ac:dyDescent="0.25">
      <c r="A33" s="205" t="s">
        <v>360</v>
      </c>
    </row>
    <row r="34" spans="1:1" x14ac:dyDescent="0.25">
      <c r="A34" s="205" t="s">
        <v>361</v>
      </c>
    </row>
    <row r="35" spans="1:1" x14ac:dyDescent="0.25">
      <c r="A35" s="205" t="s">
        <v>362</v>
      </c>
    </row>
    <row r="36" spans="1:1" x14ac:dyDescent="0.25">
      <c r="A36" s="205" t="s">
        <v>363</v>
      </c>
    </row>
    <row r="37" spans="1:1" x14ac:dyDescent="0.25">
      <c r="A37" s="205" t="s">
        <v>364</v>
      </c>
    </row>
    <row r="38" spans="1:1" x14ac:dyDescent="0.25">
      <c r="A38" s="205" t="s">
        <v>365</v>
      </c>
    </row>
    <row r="39" spans="1:1" x14ac:dyDescent="0.25">
      <c r="A39" s="205" t="s">
        <v>366</v>
      </c>
    </row>
    <row r="40" spans="1:1" x14ac:dyDescent="0.25">
      <c r="A40" s="205" t="s">
        <v>367</v>
      </c>
    </row>
    <row r="41" spans="1:1" x14ac:dyDescent="0.25">
      <c r="A41" s="205" t="s">
        <v>368</v>
      </c>
    </row>
    <row r="42" spans="1:1" x14ac:dyDescent="0.25">
      <c r="A42" s="205" t="s">
        <v>369</v>
      </c>
    </row>
    <row r="43" spans="1:1" x14ac:dyDescent="0.25">
      <c r="A43" s="205" t="s">
        <v>422</v>
      </c>
    </row>
    <row r="44" spans="1:1" x14ac:dyDescent="0.25">
      <c r="A44" s="205" t="s">
        <v>370</v>
      </c>
    </row>
    <row r="45" spans="1:1" x14ac:dyDescent="0.25">
      <c r="A45" s="205" t="s">
        <v>371</v>
      </c>
    </row>
    <row r="46" spans="1:1" x14ac:dyDescent="0.25">
      <c r="A46" s="205" t="s">
        <v>372</v>
      </c>
    </row>
    <row r="47" spans="1:1" x14ac:dyDescent="0.25">
      <c r="A47" s="205" t="s">
        <v>373</v>
      </c>
    </row>
    <row r="48" spans="1:1" x14ac:dyDescent="0.25">
      <c r="A48" s="205" t="s">
        <v>374</v>
      </c>
    </row>
    <row r="49" spans="1:1" x14ac:dyDescent="0.25">
      <c r="A49" s="205" t="s">
        <v>375</v>
      </c>
    </row>
    <row r="50" spans="1:1" x14ac:dyDescent="0.25">
      <c r="A50" s="205" t="s">
        <v>376</v>
      </c>
    </row>
    <row r="51" spans="1:1" x14ac:dyDescent="0.25">
      <c r="A51" s="205" t="s">
        <v>377</v>
      </c>
    </row>
    <row r="52" spans="1:1" x14ac:dyDescent="0.25">
      <c r="A52" s="205" t="s">
        <v>378</v>
      </c>
    </row>
    <row r="53" spans="1:1" x14ac:dyDescent="0.25">
      <c r="A53" s="205" t="s">
        <v>240</v>
      </c>
    </row>
    <row r="54" spans="1:1" x14ac:dyDescent="0.25">
      <c r="A54" s="205" t="s">
        <v>251</v>
      </c>
    </row>
    <row r="55" spans="1:1" x14ac:dyDescent="0.25">
      <c r="A55" s="205" t="s">
        <v>379</v>
      </c>
    </row>
    <row r="56" spans="1:1" x14ac:dyDescent="0.25">
      <c r="A56" s="205" t="s">
        <v>380</v>
      </c>
    </row>
    <row r="57" spans="1:1" x14ac:dyDescent="0.25">
      <c r="A57" s="205" t="s">
        <v>381</v>
      </c>
    </row>
    <row r="58" spans="1:1" x14ac:dyDescent="0.25">
      <c r="A58" s="205" t="s">
        <v>382</v>
      </c>
    </row>
    <row r="59" spans="1:1" x14ac:dyDescent="0.25">
      <c r="A59" s="205" t="s">
        <v>383</v>
      </c>
    </row>
    <row r="60" spans="1:1" x14ac:dyDescent="0.25">
      <c r="A60" s="205" t="s">
        <v>365</v>
      </c>
    </row>
    <row r="61" spans="1:1" x14ac:dyDescent="0.25">
      <c r="A61" s="205" t="s">
        <v>366</v>
      </c>
    </row>
    <row r="62" spans="1:1" x14ac:dyDescent="0.25">
      <c r="A62" s="205" t="s">
        <v>367</v>
      </c>
    </row>
    <row r="63" spans="1:1" x14ac:dyDescent="0.25">
      <c r="A63" s="205" t="s">
        <v>368</v>
      </c>
    </row>
    <row r="64" spans="1:1" x14ac:dyDescent="0.25">
      <c r="A64" s="205" t="s">
        <v>369</v>
      </c>
    </row>
    <row r="65" spans="1:1" x14ac:dyDescent="0.25">
      <c r="A65" s="205" t="s">
        <v>422</v>
      </c>
    </row>
    <row r="66" spans="1:1" x14ac:dyDescent="0.25">
      <c r="A66" s="205" t="s">
        <v>370</v>
      </c>
    </row>
    <row r="67" spans="1:1" x14ac:dyDescent="0.25">
      <c r="A67" s="205" t="s">
        <v>371</v>
      </c>
    </row>
    <row r="68" spans="1:1" x14ac:dyDescent="0.25">
      <c r="A68" s="205" t="s">
        <v>372</v>
      </c>
    </row>
    <row r="69" spans="1:1" x14ac:dyDescent="0.25">
      <c r="A69" s="205" t="s">
        <v>373</v>
      </c>
    </row>
    <row r="70" spans="1:1" x14ac:dyDescent="0.25">
      <c r="A70" s="205" t="s">
        <v>374</v>
      </c>
    </row>
    <row r="71" spans="1:1" x14ac:dyDescent="0.25">
      <c r="A71" s="205" t="s">
        <v>375</v>
      </c>
    </row>
    <row r="72" spans="1:1" x14ac:dyDescent="0.25">
      <c r="A72" s="205" t="s">
        <v>376</v>
      </c>
    </row>
    <row r="73" spans="1:1" x14ac:dyDescent="0.25">
      <c r="A73" s="205" t="s">
        <v>377</v>
      </c>
    </row>
    <row r="74" spans="1:1" x14ac:dyDescent="0.25">
      <c r="A74" s="205" t="s">
        <v>378</v>
      </c>
    </row>
    <row r="75" spans="1:1" x14ac:dyDescent="0.25">
      <c r="A75" s="205" t="s">
        <v>240</v>
      </c>
    </row>
    <row r="76" spans="1:1" x14ac:dyDescent="0.25">
      <c r="A76" s="205" t="s">
        <v>251</v>
      </c>
    </row>
    <row r="77" spans="1:1" x14ac:dyDescent="0.25">
      <c r="A77" s="205" t="s">
        <v>384</v>
      </c>
    </row>
    <row r="78" spans="1:1" x14ac:dyDescent="0.25">
      <c r="A78" s="205" t="s">
        <v>385</v>
      </c>
    </row>
    <row r="79" spans="1:1" x14ac:dyDescent="0.25">
      <c r="A79" s="205" t="s">
        <v>386</v>
      </c>
    </row>
    <row r="80" spans="1:1" x14ac:dyDescent="0.25">
      <c r="A80" s="205" t="s">
        <v>387</v>
      </c>
    </row>
    <row r="81" spans="1:1" x14ac:dyDescent="0.25">
      <c r="A81" s="205" t="s">
        <v>383</v>
      </c>
    </row>
    <row r="82" spans="1:1" x14ac:dyDescent="0.25">
      <c r="A82" s="205" t="s">
        <v>365</v>
      </c>
    </row>
    <row r="83" spans="1:1" x14ac:dyDescent="0.25">
      <c r="A83" s="205" t="s">
        <v>366</v>
      </c>
    </row>
    <row r="84" spans="1:1" x14ac:dyDescent="0.25">
      <c r="A84" s="205" t="s">
        <v>367</v>
      </c>
    </row>
    <row r="85" spans="1:1" x14ac:dyDescent="0.25">
      <c r="A85" s="205" t="s">
        <v>368</v>
      </c>
    </row>
    <row r="86" spans="1:1" x14ac:dyDescent="0.25">
      <c r="A86" s="205" t="s">
        <v>369</v>
      </c>
    </row>
    <row r="87" spans="1:1" x14ac:dyDescent="0.25">
      <c r="A87" s="205" t="s">
        <v>422</v>
      </c>
    </row>
    <row r="88" spans="1:1" x14ac:dyDescent="0.25">
      <c r="A88" s="205" t="s">
        <v>370</v>
      </c>
    </row>
    <row r="89" spans="1:1" x14ac:dyDescent="0.25">
      <c r="A89" s="205" t="s">
        <v>371</v>
      </c>
    </row>
    <row r="90" spans="1:1" x14ac:dyDescent="0.25">
      <c r="A90" s="205" t="s">
        <v>372</v>
      </c>
    </row>
    <row r="91" spans="1:1" x14ac:dyDescent="0.25">
      <c r="A91" s="205" t="s">
        <v>373</v>
      </c>
    </row>
    <row r="92" spans="1:1" x14ac:dyDescent="0.25">
      <c r="A92" s="205" t="s">
        <v>374</v>
      </c>
    </row>
    <row r="93" spans="1:1" x14ac:dyDescent="0.25">
      <c r="A93" s="205" t="s">
        <v>375</v>
      </c>
    </row>
    <row r="94" spans="1:1" x14ac:dyDescent="0.25">
      <c r="A94" s="205" t="s">
        <v>376</v>
      </c>
    </row>
    <row r="95" spans="1:1" x14ac:dyDescent="0.25">
      <c r="A95" s="205" t="s">
        <v>377</v>
      </c>
    </row>
    <row r="96" spans="1:1" x14ac:dyDescent="0.25">
      <c r="A96" s="205" t="s">
        <v>378</v>
      </c>
    </row>
    <row r="97" spans="1:1" x14ac:dyDescent="0.25">
      <c r="A97" s="205" t="s">
        <v>240</v>
      </c>
    </row>
    <row r="98" spans="1:1" x14ac:dyDescent="0.25">
      <c r="A98" s="205" t="s">
        <v>251</v>
      </c>
    </row>
    <row r="99" spans="1:1" x14ac:dyDescent="0.25">
      <c r="A99" s="205" t="s">
        <v>388</v>
      </c>
    </row>
    <row r="100" spans="1:1" x14ac:dyDescent="0.25">
      <c r="A100" s="205" t="s">
        <v>389</v>
      </c>
    </row>
    <row r="101" spans="1:1" x14ac:dyDescent="0.25">
      <c r="A101" s="205" t="s">
        <v>390</v>
      </c>
    </row>
    <row r="102" spans="1:1" x14ac:dyDescent="0.25">
      <c r="A102" s="205" t="s">
        <v>391</v>
      </c>
    </row>
    <row r="103" spans="1:1" x14ac:dyDescent="0.25">
      <c r="A103" s="205" t="s">
        <v>392</v>
      </c>
    </row>
    <row r="104" spans="1:1" x14ac:dyDescent="0.25">
      <c r="A104" s="205" t="s">
        <v>365</v>
      </c>
    </row>
    <row r="105" spans="1:1" x14ac:dyDescent="0.25">
      <c r="A105" s="205" t="s">
        <v>366</v>
      </c>
    </row>
    <row r="106" spans="1:1" x14ac:dyDescent="0.25">
      <c r="A106" s="205" t="s">
        <v>367</v>
      </c>
    </row>
    <row r="107" spans="1:1" x14ac:dyDescent="0.25">
      <c r="A107" s="205" t="s">
        <v>368</v>
      </c>
    </row>
    <row r="108" spans="1:1" x14ac:dyDescent="0.25">
      <c r="A108" s="205" t="s">
        <v>369</v>
      </c>
    </row>
    <row r="109" spans="1:1" x14ac:dyDescent="0.25">
      <c r="A109" s="205" t="s">
        <v>422</v>
      </c>
    </row>
    <row r="110" spans="1:1" x14ac:dyDescent="0.25">
      <c r="A110" s="205" t="s">
        <v>370</v>
      </c>
    </row>
    <row r="111" spans="1:1" x14ac:dyDescent="0.25">
      <c r="A111" s="205" t="s">
        <v>371</v>
      </c>
    </row>
    <row r="112" spans="1:1" x14ac:dyDescent="0.25">
      <c r="A112" s="205" t="s">
        <v>372</v>
      </c>
    </row>
    <row r="113" spans="1:1" x14ac:dyDescent="0.25">
      <c r="A113" s="205" t="s">
        <v>393</v>
      </c>
    </row>
    <row r="114" spans="1:1" x14ac:dyDescent="0.25">
      <c r="A114" s="205" t="s">
        <v>394</v>
      </c>
    </row>
    <row r="115" spans="1:1" x14ac:dyDescent="0.25">
      <c r="A115" s="205" t="s">
        <v>395</v>
      </c>
    </row>
    <row r="116" spans="1:1" x14ac:dyDescent="0.25">
      <c r="A116" s="205" t="s">
        <v>376</v>
      </c>
    </row>
    <row r="117" spans="1:1" x14ac:dyDescent="0.25">
      <c r="A117" s="205" t="s">
        <v>377</v>
      </c>
    </row>
    <row r="118" spans="1:1" x14ac:dyDescent="0.25">
      <c r="A118" s="205" t="s">
        <v>378</v>
      </c>
    </row>
    <row r="119" spans="1:1" x14ac:dyDescent="0.25">
      <c r="A119" s="205" t="s">
        <v>240</v>
      </c>
    </row>
    <row r="120" spans="1:1" x14ac:dyDescent="0.25">
      <c r="A120" s="205" t="s">
        <v>251</v>
      </c>
    </row>
    <row r="121" spans="1:1" x14ac:dyDescent="0.25">
      <c r="A121" s="205" t="s">
        <v>396</v>
      </c>
    </row>
    <row r="122" spans="1:1" x14ac:dyDescent="0.25">
      <c r="A122" s="205" t="s">
        <v>397</v>
      </c>
    </row>
    <row r="123" spans="1:1" x14ac:dyDescent="0.25">
      <c r="A123" s="205" t="s">
        <v>398</v>
      </c>
    </row>
    <row r="124" spans="1:1" x14ac:dyDescent="0.25">
      <c r="A124" s="205" t="s">
        <v>399</v>
      </c>
    </row>
    <row r="125" spans="1:1" x14ac:dyDescent="0.25">
      <c r="A125" s="205" t="s">
        <v>400</v>
      </c>
    </row>
    <row r="126" spans="1:1" x14ac:dyDescent="0.25">
      <c r="A126" s="205" t="s">
        <v>365</v>
      </c>
    </row>
    <row r="127" spans="1:1" x14ac:dyDescent="0.25">
      <c r="A127" s="205" t="s">
        <v>366</v>
      </c>
    </row>
    <row r="128" spans="1:1" x14ac:dyDescent="0.25">
      <c r="A128" s="205" t="s">
        <v>367</v>
      </c>
    </row>
    <row r="129" spans="1:1" x14ac:dyDescent="0.25">
      <c r="A129" s="205" t="s">
        <v>368</v>
      </c>
    </row>
    <row r="130" spans="1:1" x14ac:dyDescent="0.25">
      <c r="A130" s="205" t="s">
        <v>369</v>
      </c>
    </row>
    <row r="131" spans="1:1" x14ac:dyDescent="0.25">
      <c r="A131" s="205" t="s">
        <v>422</v>
      </c>
    </row>
    <row r="132" spans="1:1" x14ac:dyDescent="0.25">
      <c r="A132" s="205" t="s">
        <v>370</v>
      </c>
    </row>
    <row r="133" spans="1:1" x14ac:dyDescent="0.25">
      <c r="A133" s="205" t="s">
        <v>371</v>
      </c>
    </row>
    <row r="134" spans="1:1" x14ac:dyDescent="0.25">
      <c r="A134" s="205" t="s">
        <v>372</v>
      </c>
    </row>
    <row r="135" spans="1:1" x14ac:dyDescent="0.25">
      <c r="A135" s="205" t="s">
        <v>393</v>
      </c>
    </row>
    <row r="136" spans="1:1" x14ac:dyDescent="0.25">
      <c r="A136" s="205" t="s">
        <v>394</v>
      </c>
    </row>
    <row r="137" spans="1:1" x14ac:dyDescent="0.25">
      <c r="A137" s="205" t="s">
        <v>395</v>
      </c>
    </row>
    <row r="138" spans="1:1" x14ac:dyDescent="0.25">
      <c r="A138" s="205" t="s">
        <v>376</v>
      </c>
    </row>
    <row r="139" spans="1:1" x14ac:dyDescent="0.25">
      <c r="A139" s="205" t="s">
        <v>377</v>
      </c>
    </row>
    <row r="140" spans="1:1" x14ac:dyDescent="0.25">
      <c r="A140" s="205" t="s">
        <v>378</v>
      </c>
    </row>
    <row r="141" spans="1:1" x14ac:dyDescent="0.25">
      <c r="A141" s="205" t="s">
        <v>240</v>
      </c>
    </row>
    <row r="142" spans="1:1" x14ac:dyDescent="0.25">
      <c r="A142" s="205" t="s">
        <v>251</v>
      </c>
    </row>
    <row r="143" spans="1:1" x14ac:dyDescent="0.25">
      <c r="A143" s="205" t="s">
        <v>401</v>
      </c>
    </row>
    <row r="144" spans="1:1" x14ac:dyDescent="0.25">
      <c r="A144" s="205" t="s">
        <v>402</v>
      </c>
    </row>
    <row r="145" spans="1:1" x14ac:dyDescent="0.25">
      <c r="A145" s="205" t="s">
        <v>403</v>
      </c>
    </row>
    <row r="146" spans="1:1" x14ac:dyDescent="0.25">
      <c r="A146" s="205" t="s">
        <v>404</v>
      </c>
    </row>
    <row r="147" spans="1:1" x14ac:dyDescent="0.25">
      <c r="A147" s="205" t="s">
        <v>392</v>
      </c>
    </row>
    <row r="148" spans="1:1" x14ac:dyDescent="0.25">
      <c r="A148" s="205" t="s">
        <v>365</v>
      </c>
    </row>
    <row r="149" spans="1:1" x14ac:dyDescent="0.25">
      <c r="A149" s="205" t="s">
        <v>366</v>
      </c>
    </row>
    <row r="150" spans="1:1" x14ac:dyDescent="0.25">
      <c r="A150" s="205" t="s">
        <v>367</v>
      </c>
    </row>
    <row r="151" spans="1:1" x14ac:dyDescent="0.25">
      <c r="A151" s="205" t="s">
        <v>368</v>
      </c>
    </row>
    <row r="152" spans="1:1" x14ac:dyDescent="0.25">
      <c r="A152" s="205" t="s">
        <v>369</v>
      </c>
    </row>
    <row r="153" spans="1:1" x14ac:dyDescent="0.25">
      <c r="A153" s="205" t="s">
        <v>422</v>
      </c>
    </row>
    <row r="154" spans="1:1" x14ac:dyDescent="0.25">
      <c r="A154" s="205" t="s">
        <v>370</v>
      </c>
    </row>
    <row r="155" spans="1:1" x14ac:dyDescent="0.25">
      <c r="A155" s="205" t="s">
        <v>371</v>
      </c>
    </row>
    <row r="156" spans="1:1" x14ac:dyDescent="0.25">
      <c r="A156" s="205" t="s">
        <v>372</v>
      </c>
    </row>
    <row r="157" spans="1:1" x14ac:dyDescent="0.25">
      <c r="A157" s="205" t="s">
        <v>393</v>
      </c>
    </row>
    <row r="158" spans="1:1" x14ac:dyDescent="0.25">
      <c r="A158" s="205" t="s">
        <v>394</v>
      </c>
    </row>
    <row r="159" spans="1:1" x14ac:dyDescent="0.25">
      <c r="A159" s="205" t="s">
        <v>395</v>
      </c>
    </row>
    <row r="160" spans="1:1" x14ac:dyDescent="0.25">
      <c r="A160" s="205" t="s">
        <v>376</v>
      </c>
    </row>
    <row r="161" spans="1:1" x14ac:dyDescent="0.25">
      <c r="A161" s="205" t="s">
        <v>377</v>
      </c>
    </row>
    <row r="162" spans="1:1" x14ac:dyDescent="0.25">
      <c r="A162" s="205" t="s">
        <v>378</v>
      </c>
    </row>
    <row r="163" spans="1:1" x14ac:dyDescent="0.25">
      <c r="A163" s="205" t="s">
        <v>240</v>
      </c>
    </row>
    <row r="164" spans="1:1" x14ac:dyDescent="0.25">
      <c r="A164" s="205" t="s">
        <v>251</v>
      </c>
    </row>
    <row r="165" spans="1:1" x14ac:dyDescent="0.25">
      <c r="A165" s="205" t="s">
        <v>405</v>
      </c>
    </row>
    <row r="166" spans="1:1" x14ac:dyDescent="0.25">
      <c r="A166" s="205" t="s">
        <v>361</v>
      </c>
    </row>
    <row r="167" spans="1:1" x14ac:dyDescent="0.25">
      <c r="A167" s="205" t="s">
        <v>403</v>
      </c>
    </row>
    <row r="168" spans="1:1" x14ac:dyDescent="0.25">
      <c r="A168" s="205" t="s">
        <v>406</v>
      </c>
    </row>
    <row r="169" spans="1:1" x14ac:dyDescent="0.25">
      <c r="A169" s="205" t="s">
        <v>407</v>
      </c>
    </row>
    <row r="170" spans="1:1" x14ac:dyDescent="0.25">
      <c r="A170" s="205" t="s">
        <v>408</v>
      </c>
    </row>
    <row r="171" spans="1:1" x14ac:dyDescent="0.25">
      <c r="A171" s="205" t="s">
        <v>409</v>
      </c>
    </row>
    <row r="172" spans="1:1" x14ac:dyDescent="0.25">
      <c r="A172" s="205" t="s">
        <v>410</v>
      </c>
    </row>
    <row r="173" spans="1:1" x14ac:dyDescent="0.25">
      <c r="A173" s="205" t="s">
        <v>368</v>
      </c>
    </row>
    <row r="174" spans="1:1" x14ac:dyDescent="0.25">
      <c r="A174" s="205" t="s">
        <v>411</v>
      </c>
    </row>
    <row r="175" spans="1:1" x14ac:dyDescent="0.25">
      <c r="A175" s="205" t="s">
        <v>422</v>
      </c>
    </row>
    <row r="176" spans="1:1" x14ac:dyDescent="0.25">
      <c r="A176" s="205" t="s">
        <v>370</v>
      </c>
    </row>
    <row r="177" spans="1:1" x14ac:dyDescent="0.25">
      <c r="A177" s="205" t="s">
        <v>371</v>
      </c>
    </row>
    <row r="178" spans="1:1" x14ac:dyDescent="0.25">
      <c r="A178" s="205" t="s">
        <v>372</v>
      </c>
    </row>
    <row r="179" spans="1:1" x14ac:dyDescent="0.25">
      <c r="A179" s="205" t="s">
        <v>412</v>
      </c>
    </row>
    <row r="180" spans="1:1" x14ac:dyDescent="0.25">
      <c r="A180" s="205" t="s">
        <v>413</v>
      </c>
    </row>
    <row r="181" spans="1:1" x14ac:dyDescent="0.25">
      <c r="A181" s="205" t="s">
        <v>414</v>
      </c>
    </row>
    <row r="182" spans="1:1" x14ac:dyDescent="0.25">
      <c r="A182" s="205" t="s">
        <v>415</v>
      </c>
    </row>
    <row r="183" spans="1:1" x14ac:dyDescent="0.25">
      <c r="A183" s="205" t="s">
        <v>377</v>
      </c>
    </row>
    <row r="184" spans="1:1" x14ac:dyDescent="0.25">
      <c r="A184" s="205" t="s">
        <v>378</v>
      </c>
    </row>
    <row r="185" spans="1:1" x14ac:dyDescent="0.25">
      <c r="A185" s="205" t="s">
        <v>240</v>
      </c>
    </row>
    <row r="186" spans="1:1" x14ac:dyDescent="0.25">
      <c r="A186" s="205" t="s">
        <v>251</v>
      </c>
    </row>
    <row r="187" spans="1:1" x14ac:dyDescent="0.25">
      <c r="A187" s="205" t="s">
        <v>416</v>
      </c>
    </row>
    <row r="188" spans="1:1" x14ac:dyDescent="0.25">
      <c r="A188" s="205" t="s">
        <v>361</v>
      </c>
    </row>
    <row r="189" spans="1:1" x14ac:dyDescent="0.25">
      <c r="A189" s="205" t="s">
        <v>386</v>
      </c>
    </row>
    <row r="190" spans="1:1" x14ac:dyDescent="0.25">
      <c r="A190" s="205" t="s">
        <v>417</v>
      </c>
    </row>
    <row r="191" spans="1:1" x14ac:dyDescent="0.25">
      <c r="A191" s="205" t="s">
        <v>418</v>
      </c>
    </row>
    <row r="192" spans="1:1" x14ac:dyDescent="0.25">
      <c r="A192" s="205" t="s">
        <v>419</v>
      </c>
    </row>
    <row r="193" spans="1:1" x14ac:dyDescent="0.25">
      <c r="A193" s="205" t="s">
        <v>420</v>
      </c>
    </row>
    <row r="194" spans="1:1" x14ac:dyDescent="0.25">
      <c r="A194" s="205" t="s">
        <v>421</v>
      </c>
    </row>
    <row r="195" spans="1:1" x14ac:dyDescent="0.25">
      <c r="A195" s="205" t="s">
        <v>368</v>
      </c>
    </row>
    <row r="196" spans="1:1" x14ac:dyDescent="0.25">
      <c r="A196" s="205" t="s">
        <v>369</v>
      </c>
    </row>
    <row r="197" spans="1:1" x14ac:dyDescent="0.25">
      <c r="A197" s="205" t="s">
        <v>422</v>
      </c>
    </row>
    <row r="198" spans="1:1" x14ac:dyDescent="0.25">
      <c r="A198" s="205" t="s">
        <v>423</v>
      </c>
    </row>
    <row r="199" spans="1:1" x14ac:dyDescent="0.25">
      <c r="A199" s="205" t="s">
        <v>371</v>
      </c>
    </row>
    <row r="200" spans="1:1" x14ac:dyDescent="0.25">
      <c r="A200" s="205" t="s">
        <v>424</v>
      </c>
    </row>
    <row r="201" spans="1:1" x14ac:dyDescent="0.25">
      <c r="A201" s="205" t="s">
        <v>425</v>
      </c>
    </row>
    <row r="202" spans="1:1" x14ac:dyDescent="0.25">
      <c r="A202" s="205" t="s">
        <v>374</v>
      </c>
    </row>
    <row r="203" spans="1:1" x14ac:dyDescent="0.25">
      <c r="A203" s="205" t="s">
        <v>426</v>
      </c>
    </row>
    <row r="204" spans="1:1" x14ac:dyDescent="0.25">
      <c r="A204" s="205" t="s">
        <v>427</v>
      </c>
    </row>
    <row r="205" spans="1:1" x14ac:dyDescent="0.25">
      <c r="A205" s="205" t="s">
        <v>377</v>
      </c>
    </row>
    <row r="206" spans="1:1" x14ac:dyDescent="0.25">
      <c r="A206" s="205" t="s">
        <v>378</v>
      </c>
    </row>
    <row r="207" spans="1:1" x14ac:dyDescent="0.25">
      <c r="A207" s="205" t="s">
        <v>240</v>
      </c>
    </row>
    <row r="208" spans="1:1" x14ac:dyDescent="0.25">
      <c r="A208" s="205" t="s">
        <v>251</v>
      </c>
    </row>
    <row r="209" spans="1:1" x14ac:dyDescent="0.25">
      <c r="A209" s="205" t="s">
        <v>428</v>
      </c>
    </row>
    <row r="210" spans="1:1" x14ac:dyDescent="0.25">
      <c r="A210" s="205" t="s">
        <v>380</v>
      </c>
    </row>
    <row r="211" spans="1:1" x14ac:dyDescent="0.25">
      <c r="A211" s="205" t="s">
        <v>362</v>
      </c>
    </row>
    <row r="212" spans="1:1" x14ac:dyDescent="0.25">
      <c r="A212" s="205" t="s">
        <v>429</v>
      </c>
    </row>
    <row r="213" spans="1:1" x14ac:dyDescent="0.25">
      <c r="A213" s="205" t="s">
        <v>418</v>
      </c>
    </row>
    <row r="214" spans="1:1" x14ac:dyDescent="0.25">
      <c r="A214" s="205" t="s">
        <v>419</v>
      </c>
    </row>
    <row r="215" spans="1:1" x14ac:dyDescent="0.25">
      <c r="A215" s="205" t="s">
        <v>430</v>
      </c>
    </row>
    <row r="216" spans="1:1" x14ac:dyDescent="0.25">
      <c r="A216" s="205" t="s">
        <v>431</v>
      </c>
    </row>
    <row r="217" spans="1:1" x14ac:dyDescent="0.25">
      <c r="A217" s="205" t="s">
        <v>368</v>
      </c>
    </row>
    <row r="218" spans="1:1" x14ac:dyDescent="0.25">
      <c r="A218" s="205" t="s">
        <v>369</v>
      </c>
    </row>
    <row r="219" spans="1:1" x14ac:dyDescent="0.25">
      <c r="A219" s="205" t="s">
        <v>422</v>
      </c>
    </row>
    <row r="220" spans="1:1" x14ac:dyDescent="0.25">
      <c r="A220" s="205" t="s">
        <v>432</v>
      </c>
    </row>
    <row r="221" spans="1:1" x14ac:dyDescent="0.25">
      <c r="A221" s="205" t="s">
        <v>371</v>
      </c>
    </row>
    <row r="222" spans="1:1" x14ac:dyDescent="0.25">
      <c r="A222" s="205" t="s">
        <v>424</v>
      </c>
    </row>
    <row r="223" spans="1:1" x14ac:dyDescent="0.25">
      <c r="A223" s="205" t="s">
        <v>425</v>
      </c>
    </row>
    <row r="224" spans="1:1" x14ac:dyDescent="0.25">
      <c r="A224" s="205" t="s">
        <v>374</v>
      </c>
    </row>
    <row r="225" spans="1:1" x14ac:dyDescent="0.25">
      <c r="A225" s="205" t="s">
        <v>426</v>
      </c>
    </row>
    <row r="226" spans="1:1" x14ac:dyDescent="0.25">
      <c r="A226" s="205" t="s">
        <v>427</v>
      </c>
    </row>
    <row r="227" spans="1:1" x14ac:dyDescent="0.25">
      <c r="A227" s="205" t="s">
        <v>377</v>
      </c>
    </row>
    <row r="228" spans="1:1" x14ac:dyDescent="0.25">
      <c r="A228" s="205" t="s">
        <v>378</v>
      </c>
    </row>
    <row r="229" spans="1:1" x14ac:dyDescent="0.25">
      <c r="A229" s="205" t="s">
        <v>240</v>
      </c>
    </row>
    <row r="230" spans="1:1" x14ac:dyDescent="0.25">
      <c r="A230" s="205" t="s">
        <v>251</v>
      </c>
    </row>
    <row r="231" spans="1:1" x14ac:dyDescent="0.25">
      <c r="A231" s="205" t="s">
        <v>433</v>
      </c>
    </row>
    <row r="232" spans="1:1" x14ac:dyDescent="0.25">
      <c r="A232" s="205" t="s">
        <v>385</v>
      </c>
    </row>
    <row r="233" spans="1:1" x14ac:dyDescent="0.25">
      <c r="A233" s="205" t="s">
        <v>381</v>
      </c>
    </row>
    <row r="234" spans="1:1" x14ac:dyDescent="0.25">
      <c r="A234" s="205" t="s">
        <v>434</v>
      </c>
    </row>
    <row r="235" spans="1:1" x14ac:dyDescent="0.25">
      <c r="A235" s="205" t="s">
        <v>418</v>
      </c>
    </row>
    <row r="236" spans="1:1" x14ac:dyDescent="0.25">
      <c r="A236" s="205" t="s">
        <v>435</v>
      </c>
    </row>
    <row r="237" spans="1:1" x14ac:dyDescent="0.25">
      <c r="A237" s="205" t="s">
        <v>436</v>
      </c>
    </row>
    <row r="238" spans="1:1" x14ac:dyDescent="0.25">
      <c r="A238" s="205" t="s">
        <v>437</v>
      </c>
    </row>
    <row r="239" spans="1:1" x14ac:dyDescent="0.25">
      <c r="A239" s="205" t="s">
        <v>368</v>
      </c>
    </row>
    <row r="240" spans="1:1" x14ac:dyDescent="0.25">
      <c r="A240" s="205" t="s">
        <v>369</v>
      </c>
    </row>
    <row r="241" spans="1:1" x14ac:dyDescent="0.25">
      <c r="A241" s="205" t="s">
        <v>422</v>
      </c>
    </row>
    <row r="242" spans="1:1" x14ac:dyDescent="0.25">
      <c r="A242" s="205" t="s">
        <v>438</v>
      </c>
    </row>
    <row r="243" spans="1:1" x14ac:dyDescent="0.25">
      <c r="A243" s="205" t="s">
        <v>371</v>
      </c>
    </row>
    <row r="244" spans="1:1" x14ac:dyDescent="0.25">
      <c r="A244" s="205" t="s">
        <v>424</v>
      </c>
    </row>
    <row r="245" spans="1:1" x14ac:dyDescent="0.25">
      <c r="A245" s="205" t="s">
        <v>425</v>
      </c>
    </row>
    <row r="246" spans="1:1" x14ac:dyDescent="0.25">
      <c r="A246" s="205" t="s">
        <v>374</v>
      </c>
    </row>
    <row r="247" spans="1:1" x14ac:dyDescent="0.25">
      <c r="A247" s="205" t="s">
        <v>426</v>
      </c>
    </row>
    <row r="248" spans="1:1" x14ac:dyDescent="0.25">
      <c r="A248" s="205" t="s">
        <v>427</v>
      </c>
    </row>
    <row r="249" spans="1:1" x14ac:dyDescent="0.25">
      <c r="A249" s="205" t="s">
        <v>377</v>
      </c>
    </row>
    <row r="250" spans="1:1" x14ac:dyDescent="0.25">
      <c r="A250" s="205" t="s">
        <v>378</v>
      </c>
    </row>
    <row r="251" spans="1:1" x14ac:dyDescent="0.25">
      <c r="A251" s="205" t="s">
        <v>240</v>
      </c>
    </row>
    <row r="252" spans="1:1" x14ac:dyDescent="0.25">
      <c r="A252" s="205" t="s">
        <v>251</v>
      </c>
    </row>
    <row r="253" spans="1:1" x14ac:dyDescent="0.25">
      <c r="A253" s="205" t="s">
        <v>439</v>
      </c>
    </row>
    <row r="254" spans="1:1" x14ac:dyDescent="0.25">
      <c r="A254" s="205" t="s">
        <v>389</v>
      </c>
    </row>
    <row r="255" spans="1:1" x14ac:dyDescent="0.25">
      <c r="A255" s="205" t="s">
        <v>403</v>
      </c>
    </row>
    <row r="256" spans="1:1" x14ac:dyDescent="0.25">
      <c r="A256" s="205" t="s">
        <v>440</v>
      </c>
    </row>
    <row r="257" spans="1:1" x14ac:dyDescent="0.25">
      <c r="A257" s="205" t="s">
        <v>441</v>
      </c>
    </row>
    <row r="258" spans="1:1" x14ac:dyDescent="0.25">
      <c r="A258" s="205" t="s">
        <v>442</v>
      </c>
    </row>
    <row r="259" spans="1:1" x14ac:dyDescent="0.25">
      <c r="A259" s="205" t="s">
        <v>443</v>
      </c>
    </row>
    <row r="260" spans="1:1" x14ac:dyDescent="0.25">
      <c r="A260" s="205" t="s">
        <v>444</v>
      </c>
    </row>
    <row r="261" spans="1:1" x14ac:dyDescent="0.25">
      <c r="A261" s="205" t="s">
        <v>368</v>
      </c>
    </row>
    <row r="262" spans="1:1" x14ac:dyDescent="0.25">
      <c r="A262" s="205" t="s">
        <v>369</v>
      </c>
    </row>
    <row r="263" spans="1:1" x14ac:dyDescent="0.25">
      <c r="A263" s="205" t="s">
        <v>422</v>
      </c>
    </row>
    <row r="264" spans="1:1" x14ac:dyDescent="0.25">
      <c r="A264" s="205" t="s">
        <v>445</v>
      </c>
    </row>
    <row r="265" spans="1:1" x14ac:dyDescent="0.25">
      <c r="A265" s="205" t="s">
        <v>371</v>
      </c>
    </row>
    <row r="266" spans="1:1" x14ac:dyDescent="0.25">
      <c r="A266" s="205" t="s">
        <v>424</v>
      </c>
    </row>
    <row r="267" spans="1:1" x14ac:dyDescent="0.25">
      <c r="A267" s="205" t="s">
        <v>446</v>
      </c>
    </row>
    <row r="268" spans="1:1" x14ac:dyDescent="0.25">
      <c r="A268" s="205" t="s">
        <v>394</v>
      </c>
    </row>
    <row r="269" spans="1:1" x14ac:dyDescent="0.25">
      <c r="A269" s="205" t="s">
        <v>426</v>
      </c>
    </row>
    <row r="270" spans="1:1" x14ac:dyDescent="0.25">
      <c r="A270" s="205" t="s">
        <v>427</v>
      </c>
    </row>
    <row r="271" spans="1:1" x14ac:dyDescent="0.25">
      <c r="A271" s="205" t="s">
        <v>377</v>
      </c>
    </row>
    <row r="272" spans="1:1" x14ac:dyDescent="0.25">
      <c r="A272" s="205" t="s">
        <v>378</v>
      </c>
    </row>
    <row r="273" spans="1:1" x14ac:dyDescent="0.25">
      <c r="A273" s="205" t="s">
        <v>240</v>
      </c>
    </row>
    <row r="274" spans="1:1" x14ac:dyDescent="0.25">
      <c r="A274" s="205" t="s">
        <v>251</v>
      </c>
    </row>
    <row r="275" spans="1:1" x14ac:dyDescent="0.25">
      <c r="A275" s="205" t="s">
        <v>447</v>
      </c>
    </row>
    <row r="276" spans="1:1" x14ac:dyDescent="0.25">
      <c r="A276" s="205" t="s">
        <v>397</v>
      </c>
    </row>
    <row r="277" spans="1:1" x14ac:dyDescent="0.25">
      <c r="A277" s="205" t="s">
        <v>390</v>
      </c>
    </row>
    <row r="278" spans="1:1" x14ac:dyDescent="0.25">
      <c r="A278" s="205" t="s">
        <v>448</v>
      </c>
    </row>
    <row r="279" spans="1:1" x14ac:dyDescent="0.25">
      <c r="A279" s="205" t="s">
        <v>441</v>
      </c>
    </row>
    <row r="280" spans="1:1" x14ac:dyDescent="0.25">
      <c r="A280" s="205" t="s">
        <v>442</v>
      </c>
    </row>
    <row r="281" spans="1:1" x14ac:dyDescent="0.25">
      <c r="A281" s="205" t="s">
        <v>449</v>
      </c>
    </row>
    <row r="282" spans="1:1" x14ac:dyDescent="0.25">
      <c r="A282" s="205" t="s">
        <v>437</v>
      </c>
    </row>
    <row r="283" spans="1:1" x14ac:dyDescent="0.25">
      <c r="A283" s="205" t="s">
        <v>368</v>
      </c>
    </row>
    <row r="284" spans="1:1" x14ac:dyDescent="0.25">
      <c r="A284" s="205" t="s">
        <v>369</v>
      </c>
    </row>
    <row r="285" spans="1:1" x14ac:dyDescent="0.25">
      <c r="A285" s="205" t="s">
        <v>422</v>
      </c>
    </row>
    <row r="286" spans="1:1" x14ac:dyDescent="0.25">
      <c r="A286" s="205" t="s">
        <v>432</v>
      </c>
    </row>
    <row r="287" spans="1:1" x14ac:dyDescent="0.25">
      <c r="A287" s="205" t="s">
        <v>371</v>
      </c>
    </row>
    <row r="288" spans="1:1" x14ac:dyDescent="0.25">
      <c r="A288" s="205" t="s">
        <v>424</v>
      </c>
    </row>
    <row r="289" spans="1:1" x14ac:dyDescent="0.25">
      <c r="A289" s="205" t="s">
        <v>446</v>
      </c>
    </row>
    <row r="290" spans="1:1" x14ac:dyDescent="0.25">
      <c r="A290" s="205" t="s">
        <v>394</v>
      </c>
    </row>
    <row r="291" spans="1:1" x14ac:dyDescent="0.25">
      <c r="A291" s="205" t="s">
        <v>426</v>
      </c>
    </row>
    <row r="292" spans="1:1" x14ac:dyDescent="0.25">
      <c r="A292" s="205" t="s">
        <v>427</v>
      </c>
    </row>
    <row r="293" spans="1:1" x14ac:dyDescent="0.25">
      <c r="A293" s="205" t="s">
        <v>377</v>
      </c>
    </row>
    <row r="294" spans="1:1" x14ac:dyDescent="0.25">
      <c r="A294" s="205" t="s">
        <v>378</v>
      </c>
    </row>
    <row r="295" spans="1:1" x14ac:dyDescent="0.25">
      <c r="A295" s="205" t="s">
        <v>240</v>
      </c>
    </row>
    <row r="296" spans="1:1" x14ac:dyDescent="0.25">
      <c r="A296" s="205" t="s">
        <v>251</v>
      </c>
    </row>
    <row r="297" spans="1:1" x14ac:dyDescent="0.25">
      <c r="A297" s="205" t="s">
        <v>450</v>
      </c>
    </row>
    <row r="298" spans="1:1" x14ac:dyDescent="0.25">
      <c r="A298" s="205" t="s">
        <v>402</v>
      </c>
    </row>
    <row r="299" spans="1:1" x14ac:dyDescent="0.25">
      <c r="A299" s="205" t="s">
        <v>398</v>
      </c>
    </row>
    <row r="300" spans="1:1" x14ac:dyDescent="0.25">
      <c r="A300" s="205" t="s">
        <v>451</v>
      </c>
    </row>
    <row r="301" spans="1:1" x14ac:dyDescent="0.25">
      <c r="A301" s="205" t="s">
        <v>441</v>
      </c>
    </row>
    <row r="302" spans="1:1" x14ac:dyDescent="0.25">
      <c r="A302" s="205" t="s">
        <v>442</v>
      </c>
    </row>
    <row r="303" spans="1:1" x14ac:dyDescent="0.25">
      <c r="A303" s="205" t="s">
        <v>430</v>
      </c>
    </row>
    <row r="304" spans="1:1" x14ac:dyDescent="0.25">
      <c r="A304" s="205" t="s">
        <v>452</v>
      </c>
    </row>
    <row r="305" spans="1:1" x14ac:dyDescent="0.25">
      <c r="A305" s="205" t="s">
        <v>368</v>
      </c>
    </row>
    <row r="306" spans="1:1" x14ac:dyDescent="0.25">
      <c r="A306" s="205" t="s">
        <v>369</v>
      </c>
    </row>
    <row r="307" spans="1:1" x14ac:dyDescent="0.25">
      <c r="A307" s="205" t="s">
        <v>422</v>
      </c>
    </row>
    <row r="308" spans="1:1" x14ac:dyDescent="0.25">
      <c r="A308" s="205" t="s">
        <v>445</v>
      </c>
    </row>
    <row r="309" spans="1:1" x14ac:dyDescent="0.25">
      <c r="A309" s="205" t="s">
        <v>371</v>
      </c>
    </row>
    <row r="310" spans="1:1" x14ac:dyDescent="0.25">
      <c r="A310" s="205" t="s">
        <v>424</v>
      </c>
    </row>
    <row r="311" spans="1:1" x14ac:dyDescent="0.25">
      <c r="A311" s="205" t="s">
        <v>446</v>
      </c>
    </row>
    <row r="312" spans="1:1" x14ac:dyDescent="0.25">
      <c r="A312" s="205" t="s">
        <v>394</v>
      </c>
    </row>
    <row r="313" spans="1:1" x14ac:dyDescent="0.25">
      <c r="A313" s="205" t="s">
        <v>426</v>
      </c>
    </row>
    <row r="314" spans="1:1" x14ac:dyDescent="0.25">
      <c r="A314" s="205" t="s">
        <v>427</v>
      </c>
    </row>
    <row r="315" spans="1:1" x14ac:dyDescent="0.25">
      <c r="A315" s="205" t="s">
        <v>377</v>
      </c>
    </row>
    <row r="316" spans="1:1" x14ac:dyDescent="0.25">
      <c r="A316" s="205" t="s">
        <v>378</v>
      </c>
    </row>
    <row r="317" spans="1:1" x14ac:dyDescent="0.25">
      <c r="A317" s="205" t="s">
        <v>258</v>
      </c>
    </row>
    <row r="318" spans="1:1" x14ac:dyDescent="0.25">
      <c r="A318" s="205" t="s">
        <v>453</v>
      </c>
    </row>
    <row r="319" spans="1:1" x14ac:dyDescent="0.25">
      <c r="A319" s="205" t="s">
        <v>265</v>
      </c>
    </row>
    <row r="320" spans="1:1" x14ac:dyDescent="0.25">
      <c r="A320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319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273</v>
      </c>
      <c r="F12" s="98" t="s">
        <v>116</v>
      </c>
      <c r="G12" s="97" t="s">
        <v>273</v>
      </c>
      <c r="H12" s="98" t="s">
        <v>116</v>
      </c>
      <c r="I12" s="97" t="s">
        <v>273</v>
      </c>
      <c r="J12" s="98" t="s">
        <v>116</v>
      </c>
      <c r="K12" s="97" t="s">
        <v>273</v>
      </c>
      <c r="L12" s="98" t="s">
        <v>116</v>
      </c>
      <c r="M12" s="97" t="s">
        <v>273</v>
      </c>
      <c r="N12" s="98" t="s">
        <v>116</v>
      </c>
      <c r="O12" s="97" t="s">
        <v>273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322</v>
      </c>
    </row>
    <row r="3" spans="1:1" x14ac:dyDescent="0.25">
      <c r="A3" s="205" t="s">
        <v>271</v>
      </c>
    </row>
    <row r="4" spans="1:1" x14ac:dyDescent="0.25">
      <c r="A4" s="205" t="s">
        <v>323</v>
      </c>
    </row>
    <row r="5" spans="1:1" x14ac:dyDescent="0.25">
      <c r="A5" s="205" t="s">
        <v>330</v>
      </c>
    </row>
    <row r="6" spans="1:1" x14ac:dyDescent="0.25">
      <c r="A6" s="205" t="s">
        <v>274</v>
      </c>
    </row>
    <row r="7" spans="1:1" x14ac:dyDescent="0.25">
      <c r="A7" s="205" t="s">
        <v>275</v>
      </c>
    </row>
    <row r="8" spans="1:1" x14ac:dyDescent="0.25">
      <c r="A8" s="205" t="s">
        <v>294</v>
      </c>
    </row>
    <row r="9" spans="1:1" x14ac:dyDescent="0.25">
      <c r="A9" s="205" t="s">
        <v>295</v>
      </c>
    </row>
    <row r="10" spans="1:1" x14ac:dyDescent="0.25">
      <c r="A10" s="205" t="s">
        <v>296</v>
      </c>
    </row>
    <row r="11" spans="1:1" x14ac:dyDescent="0.25">
      <c r="A11" s="205" t="s">
        <v>297</v>
      </c>
    </row>
    <row r="12" spans="1:1" x14ac:dyDescent="0.25">
      <c r="A12" s="205" t="s">
        <v>236</v>
      </c>
    </row>
    <row r="13" spans="1:1" x14ac:dyDescent="0.25">
      <c r="A13" s="205" t="s">
        <v>276</v>
      </c>
    </row>
    <row r="14" spans="1:1" x14ac:dyDescent="0.25">
      <c r="A14" s="205" t="s">
        <v>290</v>
      </c>
    </row>
    <row r="15" spans="1:1" x14ac:dyDescent="0.25">
      <c r="A15" s="205" t="s">
        <v>291</v>
      </c>
    </row>
    <row r="16" spans="1:1" x14ac:dyDescent="0.25">
      <c r="A16" s="205" t="s">
        <v>292</v>
      </c>
    </row>
    <row r="17" spans="1:1" x14ac:dyDescent="0.25">
      <c r="A17" s="205" t="s">
        <v>293</v>
      </c>
    </row>
    <row r="18" spans="1:1" x14ac:dyDescent="0.25">
      <c r="A18" s="205" t="s">
        <v>236</v>
      </c>
    </row>
    <row r="19" spans="1:1" x14ac:dyDescent="0.25">
      <c r="A19" s="205" t="s">
        <v>277</v>
      </c>
    </row>
    <row r="20" spans="1:1" x14ac:dyDescent="0.25">
      <c r="A20" s="205" t="s">
        <v>278</v>
      </c>
    </row>
    <row r="21" spans="1:1" x14ac:dyDescent="0.25">
      <c r="A21" s="205" t="s">
        <v>258</v>
      </c>
    </row>
    <row r="22" spans="1:1" x14ac:dyDescent="0.25">
      <c r="A22" s="205" t="s">
        <v>210</v>
      </c>
    </row>
    <row r="23" spans="1:1" x14ac:dyDescent="0.25">
      <c r="A23" s="205" t="s">
        <v>271</v>
      </c>
    </row>
    <row r="24" spans="1:1" x14ac:dyDescent="0.25">
      <c r="A24" s="205" t="s">
        <v>324</v>
      </c>
    </row>
    <row r="25" spans="1:1" x14ac:dyDescent="0.25">
      <c r="A25" s="205" t="s">
        <v>331</v>
      </c>
    </row>
    <row r="26" spans="1:1" x14ac:dyDescent="0.25">
      <c r="A26" s="205" t="s">
        <v>274</v>
      </c>
    </row>
    <row r="27" spans="1:1" x14ac:dyDescent="0.25">
      <c r="A27" s="205" t="s">
        <v>275</v>
      </c>
    </row>
    <row r="28" spans="1:1" x14ac:dyDescent="0.25">
      <c r="A28" s="205" t="s">
        <v>298</v>
      </c>
    </row>
    <row r="29" spans="1:1" x14ac:dyDescent="0.25">
      <c r="A29" s="205" t="s">
        <v>299</v>
      </c>
    </row>
    <row r="30" spans="1:1" x14ac:dyDescent="0.25">
      <c r="A30" s="205" t="s">
        <v>300</v>
      </c>
    </row>
    <row r="31" spans="1:1" x14ac:dyDescent="0.25">
      <c r="A31" s="205" t="s">
        <v>301</v>
      </c>
    </row>
    <row r="32" spans="1:1" x14ac:dyDescent="0.25">
      <c r="A32" s="205" t="s">
        <v>236</v>
      </c>
    </row>
    <row r="33" spans="1:1" x14ac:dyDescent="0.25">
      <c r="A33" s="205" t="s">
        <v>276</v>
      </c>
    </row>
    <row r="34" spans="1:1" x14ac:dyDescent="0.25">
      <c r="A34" s="205" t="s">
        <v>290</v>
      </c>
    </row>
    <row r="35" spans="1:1" x14ac:dyDescent="0.25">
      <c r="A35" s="205" t="s">
        <v>291</v>
      </c>
    </row>
    <row r="36" spans="1:1" x14ac:dyDescent="0.25">
      <c r="A36" s="205" t="s">
        <v>292</v>
      </c>
    </row>
    <row r="37" spans="1:1" x14ac:dyDescent="0.25">
      <c r="A37" s="205" t="s">
        <v>293</v>
      </c>
    </row>
    <row r="38" spans="1:1" x14ac:dyDescent="0.25">
      <c r="A38" s="205" t="s">
        <v>236</v>
      </c>
    </row>
    <row r="39" spans="1:1" x14ac:dyDescent="0.25">
      <c r="A39" s="205" t="s">
        <v>277</v>
      </c>
    </row>
    <row r="40" spans="1:1" x14ac:dyDescent="0.25">
      <c r="A40" s="205" t="s">
        <v>278</v>
      </c>
    </row>
    <row r="41" spans="1:1" x14ac:dyDescent="0.25">
      <c r="A41" s="205" t="s">
        <v>258</v>
      </c>
    </row>
    <row r="42" spans="1:1" x14ac:dyDescent="0.25">
      <c r="A42" s="205" t="s">
        <v>210</v>
      </c>
    </row>
    <row r="43" spans="1:1" x14ac:dyDescent="0.25">
      <c r="A43" s="205" t="s">
        <v>271</v>
      </c>
    </row>
    <row r="44" spans="1:1" x14ac:dyDescent="0.25">
      <c r="A44" s="205" t="s">
        <v>325</v>
      </c>
    </row>
    <row r="45" spans="1:1" x14ac:dyDescent="0.25">
      <c r="A45" s="205" t="s">
        <v>332</v>
      </c>
    </row>
    <row r="46" spans="1:1" x14ac:dyDescent="0.25">
      <c r="A46" s="205" t="s">
        <v>274</v>
      </c>
    </row>
    <row r="47" spans="1:1" x14ac:dyDescent="0.25">
      <c r="A47" s="205" t="s">
        <v>275</v>
      </c>
    </row>
    <row r="48" spans="1:1" x14ac:dyDescent="0.25">
      <c r="A48" s="205" t="s">
        <v>302</v>
      </c>
    </row>
    <row r="49" spans="1:1" x14ac:dyDescent="0.25">
      <c r="A49" s="205" t="s">
        <v>303</v>
      </c>
    </row>
    <row r="50" spans="1:1" x14ac:dyDescent="0.25">
      <c r="A50" s="205" t="s">
        <v>304</v>
      </c>
    </row>
    <row r="51" spans="1:1" x14ac:dyDescent="0.25">
      <c r="A51" s="205" t="s">
        <v>305</v>
      </c>
    </row>
    <row r="52" spans="1:1" x14ac:dyDescent="0.25">
      <c r="A52" s="205" t="s">
        <v>236</v>
      </c>
    </row>
    <row r="53" spans="1:1" x14ac:dyDescent="0.25">
      <c r="A53" s="205" t="s">
        <v>276</v>
      </c>
    </row>
    <row r="54" spans="1:1" x14ac:dyDescent="0.25">
      <c r="A54" s="205" t="s">
        <v>279</v>
      </c>
    </row>
    <row r="55" spans="1:1" x14ac:dyDescent="0.25">
      <c r="A55" s="205" t="s">
        <v>279</v>
      </c>
    </row>
    <row r="56" spans="1:1" x14ac:dyDescent="0.25">
      <c r="A56" s="205" t="s">
        <v>279</v>
      </c>
    </row>
    <row r="57" spans="1:1" x14ac:dyDescent="0.25">
      <c r="A57" s="205" t="s">
        <v>306</v>
      </c>
    </row>
    <row r="58" spans="1:1" x14ac:dyDescent="0.25">
      <c r="A58" s="205" t="s">
        <v>236</v>
      </c>
    </row>
    <row r="59" spans="1:1" x14ac:dyDescent="0.25">
      <c r="A59" s="205" t="s">
        <v>277</v>
      </c>
    </row>
    <row r="60" spans="1:1" x14ac:dyDescent="0.25">
      <c r="A60" s="205" t="s">
        <v>278</v>
      </c>
    </row>
    <row r="61" spans="1:1" x14ac:dyDescent="0.25">
      <c r="A61" s="205" t="s">
        <v>258</v>
      </c>
    </row>
    <row r="62" spans="1:1" x14ac:dyDescent="0.25">
      <c r="A62" s="205" t="s">
        <v>210</v>
      </c>
    </row>
    <row r="63" spans="1:1" x14ac:dyDescent="0.25">
      <c r="A63" s="205" t="s">
        <v>271</v>
      </c>
    </row>
    <row r="64" spans="1:1" x14ac:dyDescent="0.25">
      <c r="A64" s="205" t="s">
        <v>326</v>
      </c>
    </row>
    <row r="65" spans="1:1" x14ac:dyDescent="0.25">
      <c r="A65" s="205" t="s">
        <v>333</v>
      </c>
    </row>
    <row r="66" spans="1:1" x14ac:dyDescent="0.25">
      <c r="A66" s="205" t="s">
        <v>274</v>
      </c>
    </row>
    <row r="67" spans="1:1" x14ac:dyDescent="0.25">
      <c r="A67" s="205" t="s">
        <v>275</v>
      </c>
    </row>
    <row r="68" spans="1:1" x14ac:dyDescent="0.25">
      <c r="A68" s="205" t="s">
        <v>307</v>
      </c>
    </row>
    <row r="69" spans="1:1" x14ac:dyDescent="0.25">
      <c r="A69" s="205" t="s">
        <v>308</v>
      </c>
    </row>
    <row r="70" spans="1:1" x14ac:dyDescent="0.25">
      <c r="A70" s="205" t="s">
        <v>309</v>
      </c>
    </row>
    <row r="71" spans="1:1" x14ac:dyDescent="0.25">
      <c r="A71" s="205" t="s">
        <v>310</v>
      </c>
    </row>
    <row r="72" spans="1:1" x14ac:dyDescent="0.25">
      <c r="A72" s="205" t="s">
        <v>236</v>
      </c>
    </row>
    <row r="73" spans="1:1" x14ac:dyDescent="0.25">
      <c r="A73" s="205" t="s">
        <v>276</v>
      </c>
    </row>
    <row r="74" spans="1:1" x14ac:dyDescent="0.25">
      <c r="A74" s="205" t="s">
        <v>279</v>
      </c>
    </row>
    <row r="75" spans="1:1" x14ac:dyDescent="0.25">
      <c r="A75" s="205" t="s">
        <v>279</v>
      </c>
    </row>
    <row r="76" spans="1:1" x14ac:dyDescent="0.25">
      <c r="A76" s="205" t="s">
        <v>279</v>
      </c>
    </row>
    <row r="77" spans="1:1" x14ac:dyDescent="0.25">
      <c r="A77" s="205" t="s">
        <v>306</v>
      </c>
    </row>
    <row r="78" spans="1:1" x14ac:dyDescent="0.25">
      <c r="A78" s="205" t="s">
        <v>236</v>
      </c>
    </row>
    <row r="79" spans="1:1" x14ac:dyDescent="0.25">
      <c r="A79" s="205" t="s">
        <v>277</v>
      </c>
    </row>
    <row r="80" spans="1:1" x14ac:dyDescent="0.25">
      <c r="A80" s="205" t="s">
        <v>278</v>
      </c>
    </row>
    <row r="81" spans="1:1" x14ac:dyDescent="0.25">
      <c r="A81" s="205" t="s">
        <v>258</v>
      </c>
    </row>
    <row r="82" spans="1:1" x14ac:dyDescent="0.25">
      <c r="A82" s="205" t="s">
        <v>210</v>
      </c>
    </row>
    <row r="83" spans="1:1" x14ac:dyDescent="0.25">
      <c r="A83" s="205" t="s">
        <v>271</v>
      </c>
    </row>
    <row r="84" spans="1:1" x14ac:dyDescent="0.25">
      <c r="A84" s="205" t="s">
        <v>327</v>
      </c>
    </row>
    <row r="85" spans="1:1" x14ac:dyDescent="0.25">
      <c r="A85" s="205" t="s">
        <v>334</v>
      </c>
    </row>
    <row r="86" spans="1:1" x14ac:dyDescent="0.25">
      <c r="A86" s="205" t="s">
        <v>274</v>
      </c>
    </row>
    <row r="87" spans="1:1" x14ac:dyDescent="0.25">
      <c r="A87" s="205" t="s">
        <v>275</v>
      </c>
    </row>
    <row r="88" spans="1:1" x14ac:dyDescent="0.25">
      <c r="A88" s="205" t="s">
        <v>311</v>
      </c>
    </row>
    <row r="89" spans="1:1" x14ac:dyDescent="0.25">
      <c r="A89" s="205" t="s">
        <v>312</v>
      </c>
    </row>
    <row r="90" spans="1:1" x14ac:dyDescent="0.25">
      <c r="A90" s="205" t="s">
        <v>313</v>
      </c>
    </row>
    <row r="91" spans="1:1" x14ac:dyDescent="0.25">
      <c r="A91" s="205" t="s">
        <v>314</v>
      </c>
    </row>
    <row r="92" spans="1:1" x14ac:dyDescent="0.25">
      <c r="A92" s="205" t="s">
        <v>236</v>
      </c>
    </row>
    <row r="93" spans="1:1" x14ac:dyDescent="0.25">
      <c r="A93" s="205" t="s">
        <v>276</v>
      </c>
    </row>
    <row r="94" spans="1:1" x14ac:dyDescent="0.25">
      <c r="A94" s="205" t="s">
        <v>279</v>
      </c>
    </row>
    <row r="95" spans="1:1" x14ac:dyDescent="0.25">
      <c r="A95" s="205" t="s">
        <v>279</v>
      </c>
    </row>
    <row r="96" spans="1:1" x14ac:dyDescent="0.25">
      <c r="A96" s="205" t="s">
        <v>279</v>
      </c>
    </row>
    <row r="97" spans="1:1" x14ac:dyDescent="0.25">
      <c r="A97" s="205" t="s">
        <v>306</v>
      </c>
    </row>
    <row r="98" spans="1:1" x14ac:dyDescent="0.25">
      <c r="A98" s="205" t="s">
        <v>236</v>
      </c>
    </row>
    <row r="99" spans="1:1" x14ac:dyDescent="0.25">
      <c r="A99" s="205" t="s">
        <v>277</v>
      </c>
    </row>
    <row r="100" spans="1:1" x14ac:dyDescent="0.25">
      <c r="A100" s="205" t="s">
        <v>278</v>
      </c>
    </row>
    <row r="101" spans="1:1" x14ac:dyDescent="0.25">
      <c r="A101" s="205" t="s">
        <v>258</v>
      </c>
    </row>
    <row r="102" spans="1:1" x14ac:dyDescent="0.25">
      <c r="A102" s="205" t="s">
        <v>210</v>
      </c>
    </row>
    <row r="103" spans="1:1" x14ac:dyDescent="0.25">
      <c r="A103" s="205" t="s">
        <v>271</v>
      </c>
    </row>
    <row r="104" spans="1:1" x14ac:dyDescent="0.25">
      <c r="A104" s="205" t="s">
        <v>328</v>
      </c>
    </row>
    <row r="105" spans="1:1" x14ac:dyDescent="0.25">
      <c r="A105" s="205" t="s">
        <v>335</v>
      </c>
    </row>
    <row r="106" spans="1:1" x14ac:dyDescent="0.25">
      <c r="A106" s="205" t="s">
        <v>274</v>
      </c>
    </row>
    <row r="107" spans="1:1" x14ac:dyDescent="0.25">
      <c r="A107" s="205" t="s">
        <v>275</v>
      </c>
    </row>
    <row r="108" spans="1:1" x14ac:dyDescent="0.25">
      <c r="A108" s="205" t="s">
        <v>316</v>
      </c>
    </row>
    <row r="109" spans="1:1" x14ac:dyDescent="0.25">
      <c r="A109" s="205" t="s">
        <v>317</v>
      </c>
    </row>
    <row r="110" spans="1:1" x14ac:dyDescent="0.25">
      <c r="A110" s="205" t="s">
        <v>315</v>
      </c>
    </row>
    <row r="111" spans="1:1" x14ac:dyDescent="0.25">
      <c r="A111" s="205" t="s">
        <v>318</v>
      </c>
    </row>
    <row r="112" spans="1:1" x14ac:dyDescent="0.25">
      <c r="A112" s="205" t="s">
        <v>236</v>
      </c>
    </row>
    <row r="113" spans="1:1" x14ac:dyDescent="0.25">
      <c r="A113" s="205" t="s">
        <v>276</v>
      </c>
    </row>
    <row r="114" spans="1:1" x14ac:dyDescent="0.25">
      <c r="A114" s="205" t="s">
        <v>279</v>
      </c>
    </row>
    <row r="115" spans="1:1" x14ac:dyDescent="0.25">
      <c r="A115" s="205" t="s">
        <v>279</v>
      </c>
    </row>
    <row r="116" spans="1:1" x14ac:dyDescent="0.25">
      <c r="A116" s="205" t="s">
        <v>279</v>
      </c>
    </row>
    <row r="117" spans="1:1" x14ac:dyDescent="0.25">
      <c r="A117" s="205" t="s">
        <v>306</v>
      </c>
    </row>
    <row r="118" spans="1:1" x14ac:dyDescent="0.25">
      <c r="A118" s="205" t="s">
        <v>236</v>
      </c>
    </row>
    <row r="119" spans="1:1" x14ac:dyDescent="0.25">
      <c r="A119" s="205" t="s">
        <v>277</v>
      </c>
    </row>
    <row r="120" spans="1:1" x14ac:dyDescent="0.25">
      <c r="A120" s="205" t="s">
        <v>278</v>
      </c>
    </row>
    <row r="121" spans="1:1" x14ac:dyDescent="0.25">
      <c r="A121" s="205" t="s">
        <v>258</v>
      </c>
    </row>
    <row r="122" spans="1:1" x14ac:dyDescent="0.25">
      <c r="A122" s="205" t="s">
        <v>248</v>
      </c>
    </row>
    <row r="123" spans="1:1" x14ac:dyDescent="0.25">
      <c r="A123" s="205" t="s">
        <v>272</v>
      </c>
    </row>
    <row r="124" spans="1:1" x14ac:dyDescent="0.25">
      <c r="A124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2022-03-26T01:00:44Z</dcterms:modified>
</cp:coreProperties>
</file>