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filterPrivacy="1" codeName="AIG_FAVOR" defaultThemeVersion="124226"/>
  <xr:revisionPtr revIDLastSave="0" documentId="13_ncr:1_{F081B748-9E9B-480F-927B-30D5E2B79AD7}" xr6:coauthVersionLast="47" xr6:coauthVersionMax="47" xr10:uidLastSave="{00000000-0000-0000-0000-000000000000}"/>
  <bookViews>
    <workbookView xWindow="-120" yWindow="-120" windowWidth="29040" windowHeight="15840" xr2:uid="{D6318B3A-533D-4B5A-85FB-AD1DFFC88023}"/>
  </bookViews>
  <sheets>
    <sheet name="0-Input Setup" sheetId="5" r:id="rId1"/>
    <sheet name="1.1-FAVLoad Parameters" sheetId="1" state="hidden" r:id="rId2"/>
    <sheet name="1.2-FAVLoad Materials" sheetId="3" state="hidden" r:id="rId3"/>
    <sheet name="1.3-FAVLoad Transients" sheetId="4" state="hidden" r:id="rId4"/>
    <sheet name="1.4-FAVLoad Input" sheetId="2" state="hidden" r:id="rId5"/>
    <sheet name="2.1-FAVPFM Parameters" sheetId="7" state="hidden" r:id="rId6"/>
    <sheet name="2.2-FAVPFM Embrittlement" sheetId="8" state="hidden" r:id="rId7"/>
    <sheet name="2.3-FAVPFM Input" sheetId="9" state="hidden" r:id="rId8"/>
    <sheet name="3.1-FAVPost Distributions" sheetId="10" state="hidden" r:id="rId9"/>
    <sheet name="3.2-FAVPost Input" sheetId="11" state="hidden" r:id="rId10"/>
    <sheet name="4.1-VFLAW Surface" sheetId="12" state="hidden" r:id="rId11"/>
    <sheet name="4.2-VFLAW Weld" sheetId="20" state="hidden" r:id="rId12"/>
    <sheet name="4.3-VFLAW Plate" sheetId="21" state="hidden" r:id="rId13"/>
    <sheet name="5.1-As-Found Flaws" sheetId="22" state="hidden" r:id="rId14"/>
  </sheets>
  <functionGroups builtInGroupCount="19"/>
  <definedNames>
    <definedName name="AFF_Case">'5.1-As-Found Flaws'!$B$2</definedName>
    <definedName name="AFF_Count">'5.1-As-Found Flaws'!$B$7</definedName>
    <definedName name="AFF_Data">'5.1-As-Found Flaws'!$A$18</definedName>
    <definedName name="AFF_Depth_Unit">'5.1-As-Found Flaws'!$E$17</definedName>
    <definedName name="AFF_DistanceID_Unit">'5.1-As-Found Flaws'!$G$17</definedName>
    <definedName name="AFF_IN">'5.1-As-Found Flaws'!$B$3</definedName>
    <definedName name="AFF_InputRange">'5.1-As-Found Flaws'!$J$17</definedName>
    <definedName name="AFF_NumFlaws">'5.1-As-Found Flaws'!$B$6</definedName>
    <definedName name="AFFInput">'0-Input Setup'!$B$16</definedName>
    <definedName name="BASE_A_vals">'1.2-FAVLoad Materials'!$G$8</definedName>
    <definedName name="BASE_ALPHA">'1.1-FAVLoad Parameters'!$E$18</definedName>
    <definedName name="BASE_C">'1.1-FAVLoad Parameters'!$E$16</definedName>
    <definedName name="BASE_C_vals">'1.2-FAVLoad Materials'!$C$8</definedName>
    <definedName name="BASE_E">'1.1-FAVLoad Parameters'!$E$17</definedName>
    <definedName name="BASE_E_vals">'1.2-FAVLoad Materials'!$E$8</definedName>
    <definedName name="BASE_K">'1.1-FAVLoad Parameters'!$E$15</definedName>
    <definedName name="BASE_K_vals">'1.2-FAVLoad Materials'!$A$8</definedName>
    <definedName name="BASE_N_vals">'1.2-FAVLoad Materials'!$I$8</definedName>
    <definedName name="BASE_NA">'1.2-FAVLoad Materials'!$H$5</definedName>
    <definedName name="BASE_NC">'1.2-FAVLoad Materials'!$D$5</definedName>
    <definedName name="BASE_NE">'1.2-FAVLoad Materials'!$F$5</definedName>
    <definedName name="BASE_NK">'1.2-FAVLoad Materials'!$B$5</definedName>
    <definedName name="BASE_NN">'1.2-FAVLoad Materials'!$J$5</definedName>
    <definedName name="BASE_NTE">'1.1-FAVLoad Parameters'!$E$12</definedName>
    <definedName name="BASE_NU">'1.1-FAVLoad Parameters'!$E$19</definedName>
    <definedName name="BASE_refTemp">'1.1-FAVLoad Parameters'!$E$13</definedName>
    <definedName name="BASE_RHO">'1.1-FAVLoad Parameters'!$E$14</definedName>
    <definedName name="BASE_Tref0">'1.2-FAVLoad Materials'!$E$3</definedName>
    <definedName name="CLAD_A_vals">'1.2-FAVLoad Materials'!$Q$8</definedName>
    <definedName name="CLAD_ALPHA">'1.1-FAVLoad Parameters'!$E$28</definedName>
    <definedName name="CLAD_C">'1.1-FAVLoad Parameters'!$E$26</definedName>
    <definedName name="CLAD_C_vals">'1.2-FAVLoad Materials'!$M$8</definedName>
    <definedName name="CLAD_E">'1.1-FAVLoad Parameters'!$E$27</definedName>
    <definedName name="CLAD_E_vals">'1.2-FAVLoad Materials'!$O$8</definedName>
    <definedName name="CLAD_K">'1.1-FAVLoad Parameters'!$E$25</definedName>
    <definedName name="CLAD_K_vals">'1.2-FAVLoad Materials'!$K$8</definedName>
    <definedName name="CLAD_N_vals">'1.2-FAVLoad Materials'!$S$8</definedName>
    <definedName name="CLAD_NA">'1.2-FAVLoad Materials'!$R$5</definedName>
    <definedName name="CLAD_NC">'1.2-FAVLoad Materials'!$N$5</definedName>
    <definedName name="CLAD_NE">'1.2-FAVLoad Materials'!$P$5</definedName>
    <definedName name="CLAD_NK">'1.2-FAVLoad Materials'!$L$5</definedName>
    <definedName name="CLAD_NN">'1.2-FAVLoad Materials'!$T$5</definedName>
    <definedName name="CLAD_NTE">'1.1-FAVLoad Parameters'!$E$22</definedName>
    <definedName name="CLAD_NU">'1.1-FAVLoad Parameters'!$E$29</definedName>
    <definedName name="CLAD_refTemp">'1.1-FAVLoad Parameters'!$E$23</definedName>
    <definedName name="CLAD_RHO">'1.1-FAVLoad Parameters'!$E$24</definedName>
    <definedName name="CLAD_Tref0">'1.2-FAVLoad Materials'!$O$3</definedName>
    <definedName name="CNT1_CHILD_OPT">'2.1-FAVPFM Parameters'!$E$22</definedName>
    <definedName name="CNT1_IGATR">'2.1-FAVPFM Parameters'!$E$19</definedName>
    <definedName name="CNT1_IPFLAW">'2.1-FAVPFM Parameters'!$E$18</definedName>
    <definedName name="CNT1_NSIM">'2.1-FAVPFM Parameters'!$E$17</definedName>
    <definedName name="CNT1_PC3_OPT">'2.1-FAVPFM Parameters'!$E$21</definedName>
    <definedName name="CNT1_RESTART_OPTION">'2.1-FAVPFM Parameters'!$E$23</definedName>
    <definedName name="CNT1_WPS_OPT">'2.1-FAVPFM Parameters'!$E$20</definedName>
    <definedName name="CNT2_EFPY">'2.1-FAVPFM Parameters'!$E$27</definedName>
    <definedName name="CNT2_IDT_INI">'2.1-FAVPFM Parameters'!$E$29</definedName>
    <definedName name="CNT2_IDT_OPT">'2.1-FAVPFM Parameters'!$E$28</definedName>
    <definedName name="CNT2_ILONG_OUT">'2.1-FAVPFM Parameters'!$E$30</definedName>
    <definedName name="CNT2_IRTNDT">'2.1-FAVPFM Parameters'!$E$25</definedName>
    <definedName name="CNT2_TC">'2.1-FAVPFM Parameters'!$E$26</definedName>
    <definedName name="CNT3_FAILCR">'2.1-FAVPFM Parameters'!$E$35</definedName>
    <definedName name="CNT3_FLWSTR">'2.1-FAVPFM Parameters'!$E$31</definedName>
    <definedName name="CNT3_KIa_Model">'2.1-FAVPFM Parameters'!$E$33</definedName>
    <definedName name="CNT3_LAYER_OPTION">'2.1-FAVPFM Parameters'!$E$34</definedName>
    <definedName name="CNT3_USKIA">'2.1-FAVPFM Parameters'!$E$32</definedName>
    <definedName name="CNTL_NTRAN">'3.1-FAVPost Distributions'!$F$7</definedName>
    <definedName name="DTRF_NT">'2.1-FAVPFM Parameters'!$E$58</definedName>
    <definedName name="Embrittlement_data">'2.2-FAVPFM Embrittlement'!$A$16</definedName>
    <definedName name="FAVLoad_InputRange">'1.4-FAVLoad Input'!$A$1</definedName>
    <definedName name="FAVLoadCase">'1.1-FAVLoad Parameters'!$B$2</definedName>
    <definedName name="FAVLoadIN">'1.1-FAVLoad Parameters'!$B$3</definedName>
    <definedName name="FAVLoadInput">'0-Input Setup'!$B$9</definedName>
    <definedName name="FAVLoadOUT">'1.1-FAVLoad Parameters'!$B$4</definedName>
    <definedName name="FAVPFM_InputRange">'2.3-FAVPFM Input'!$A$1</definedName>
    <definedName name="FAVPFMCase">'2.1-FAVPFM Parameters'!$B$2</definedName>
    <definedName name="FAVPFMIN">'2.1-FAVPFM Parameters'!$B$3</definedName>
    <definedName name="FAVPFMInput">'0-Input Setup'!$B$10</definedName>
    <definedName name="FAVPFMOUT">'2.1-FAVPFM Parameters'!$B$4</definedName>
    <definedName name="FAVPost_InputRange">'3.2-FAVPost Input'!$A$1</definedName>
    <definedName name="FAVPostCase">'3.1-FAVPost Distributions'!$B$2</definedName>
    <definedName name="FAVPostIN">'3.1-FAVPost Distributions'!$B$3</definedName>
    <definedName name="FAVPostInput">'0-Input Setup'!$B$11</definedName>
    <definedName name="FAVPostOUT">'3.1-FAVPost Distributions'!$B$4</definedName>
    <definedName name="GENR_SIGFGL">'2.1-FAVPFM Parameters'!$E$38</definedName>
    <definedName name="GENR_SIGFLC">'2.1-FAVPFM Parameters'!$E$39</definedName>
    <definedName name="GEOM_CLTH">'1.1-FAVLoad Parameters'!$E$9</definedName>
    <definedName name="GEOM_IRAD">'1.1-FAVLoad Parameters'!$E$7</definedName>
    <definedName name="GEOM_W">'1.1-FAVLoad Parameters'!$E$8</definedName>
    <definedName name="ISQ_ISEQ_vals">'2.1-FAVPFM Parameters'!$B$62</definedName>
    <definedName name="ISQ_ITRAN_vals">'2.1-FAVPFM Parameters'!$A$62</definedName>
    <definedName name="ISQ_TEND_vals">'2.1-FAVPFM Parameters'!$D$62</definedName>
    <definedName name="ISQ_TSTART_vals">'2.1-FAVPFM Parameters'!$C$62</definedName>
    <definedName name="ITRN_ISEQ_vals">'3.1-FAVPost Distributions'!$C$12</definedName>
    <definedName name="ITRN_ITRAN_vals">'3.1-FAVPost Distributions'!$B$12</definedName>
    <definedName name="ITRN_NHIST">'3.1-FAVPost Distributions'!$F$11</definedName>
    <definedName name="ITRN_vals">'3.1-FAVPost Distributions'!$E$13</definedName>
    <definedName name="LDQA_ASPECT">'2.1-FAVPFM Parameters'!$E$13</definedName>
    <definedName name="LDQA_IFLOR">'2.1-FAVPFM Parameters'!$E$11</definedName>
    <definedName name="LDQA_IKIND">'2.1-FAVPFM Parameters'!$E$10</definedName>
    <definedName name="LDQA_IOPT">'2.1-FAVPFM Parameters'!$E$8</definedName>
    <definedName name="LDQA_IQA">'2.1-FAVPFM Parameters'!$E$7</definedName>
    <definedName name="LDQA_IWELD">'2.1-FAVPFM Parameters'!$E$9</definedName>
    <definedName name="LDQA_XIN">'2.1-FAVPFM Parameters'!$E$14</definedName>
    <definedName name="LDQA_XVAR">'2.1-FAVPFM Parameters'!$E$12</definedName>
    <definedName name="Load_Transient_Header">'1.3-FAVLoad Transients'!$G$4:$L$7</definedName>
    <definedName name="NHTH_NC">'1.3-FAVLoad Transients'!$H$5</definedName>
    <definedName name="NHTH_vals">'1.3-FAVLoad Transients'!$G$8</definedName>
    <definedName name="NPRA_NTRAN">'1.1-FAVLoad Parameters'!$E$44</definedName>
    <definedName name="NPTH_NP">'1.3-FAVLoad Transients'!$L$5</definedName>
    <definedName name="NPTH_vals">'1.3-FAVLoad Transients'!$K$8</definedName>
    <definedName name="NTTH_NT">'1.3-FAVLoad Transients'!$J$5</definedName>
    <definedName name="NTTH_vals">'1.3-FAVLoad Transients'!$I$8</definedName>
    <definedName name="PLAT_NPMAJ">'2.2-FAVPFM Embrittlement'!$E$7</definedName>
    <definedName name="PLAT_NPSUB">'2.2-FAVPFM Embrittlement'!$E$6</definedName>
    <definedName name="Post_Transient_Header">'3.1-FAVPost Distributions'!$E$10:$F$12</definedName>
    <definedName name="ReadIn_FileName">'0-Input Setup'!$A$5</definedName>
    <definedName name="RESA_NRAX">'1.1-FAVLoad Parameters'!$E$36</definedName>
    <definedName name="RESC_NRCR">'1.1-FAVLoad Parameters'!$E$37</definedName>
    <definedName name="SFRE_CFP">'1.1-FAVLoad Parameters'!$E$33</definedName>
    <definedName name="SFRE_T">'1.1-FAVLoad Parameters'!$E$32</definedName>
    <definedName name="SIGP_PSIGCU">'2.1-FAVPFM Parameters'!$E$47</definedName>
    <definedName name="SIGP_PSIGNI">'2.1-FAVPFM Parameters'!$E$48</definedName>
    <definedName name="SIGP_PSIGP">'2.1-FAVPFM Parameters'!$E$49</definedName>
    <definedName name="SIGW_WSIGCU">'2.1-FAVPFM Parameters'!$E$42</definedName>
    <definedName name="SIGW_WSIGNI">'2.1-FAVPFM Parameters'!$E$43</definedName>
    <definedName name="SIGW_WSIGP">'2.1-FAVPFM Parameters'!$E$44</definedName>
    <definedName name="STYL_BETA_vals">'1.3-FAVLoad Transients'!$E$6</definedName>
    <definedName name="STYL_TFINAL_vals">'1.3-FAVLoad Transients'!$D$6</definedName>
    <definedName name="STYL_TINIT_vals">'1.3-FAVLoad Transients'!$C$6</definedName>
    <definedName name="TIME_DT">'1.1-FAVLoad Parameters'!$E$41</definedName>
    <definedName name="TIME_TOTAL">'1.1-FAVLoad Parameters'!$E$40</definedName>
    <definedName name="TRAC_FLAW_LOG_OPTION">'2.1-FAVPFM Parameters'!$E$52</definedName>
    <definedName name="TRAC_IRPV">'2.1-FAVPFM Parameters'!$E$54</definedName>
    <definedName name="TRAC_ITRAN">'2.1-FAVPFM Parameters'!$E$53</definedName>
    <definedName name="TRAC_KFLAW">'2.1-FAVPFM Parameters'!$E$55</definedName>
    <definedName name="TRAN_ISEQ_vals">'1.3-FAVLoad Transients'!$B$6</definedName>
    <definedName name="TRAN_ITRAN_vals">'1.3-FAVLoad Transients'!$A$6</definedName>
    <definedName name="VFLAW_PLATE_AR10001500">'4.3-VFLAW Plate'!$F$25</definedName>
    <definedName name="VFLAW_PLATE_AR100125">'4.3-VFLAW Plate'!$F$16</definedName>
    <definedName name="VFLAW_PLATE_AR125150">'4.3-VFLAW Plate'!$F$17</definedName>
    <definedName name="VFLAW_PLATE_AR1500inf">'4.3-VFLAW Plate'!$F$26</definedName>
    <definedName name="VFLAW_PLATE_AR150200">'4.3-VFLAW Plate'!$F$18</definedName>
    <definedName name="VFLAW_PLATE_AR200300">'4.3-VFLAW Plate'!$F$19</definedName>
    <definedName name="VFLAW_PLATE_AR300400">'4.3-VFLAW Plate'!$F$20</definedName>
    <definedName name="VFLAW_PLATE_AR400500">'4.3-VFLAW Plate'!$F$21</definedName>
    <definedName name="VFLAW_PLATE_AR500600">'4.3-VFLAW Plate'!$F$22</definedName>
    <definedName name="VFLAW_PLATE_AR600800">'4.3-VFLAW Plate'!$F$23</definedName>
    <definedName name="VFLAW_PLATE_AR8001000">'4.3-VFLAW Plate'!$F$24</definedName>
    <definedName name="VFLAW_PLATE_ARdefault">'4.3-VFLAW Plate'!$F$15</definedName>
    <definedName name="VFLAW_PLATE_CLTH">'4.3-VFLAW Plate'!$F$9</definedName>
    <definedName name="VFLAW_PLATE_data">'4.3-VFLAW Plate'!$A$32</definedName>
    <definedName name="VFLAW_PLATE_DEPTH1">'4.3-VFLAW Plate'!$F$12</definedName>
    <definedName name="VFLAW_PLATE_H">'4.3-VFLAW Plate'!$F$10</definedName>
    <definedName name="VFLAW_PLATE_IRAD">'4.3-VFLAW Plate'!$F$7</definedName>
    <definedName name="VFLAW_PLATE_NFLAW">'4.3-VFLAW Plate'!$F$11</definedName>
    <definedName name="VFLAW_PLATE_OPT">'0-Input Setup'!$B$15</definedName>
    <definedName name="VFLAW_PLATE_W">'4.3-VFLAW Plate'!$F$8</definedName>
    <definedName name="VFLAW_SURF_AR10">'4.1-VFLAW Surface'!$F$18</definedName>
    <definedName name="VFLAW_SURF_AR2">'4.1-VFLAW Surface'!$F$16</definedName>
    <definedName name="VFLAW_SURF_AR6">'4.1-VFLAW Surface'!$F$17</definedName>
    <definedName name="VFLAW_SURF_ARdefault">'4.1-VFLAW Surface'!$F$15</definedName>
    <definedName name="VFLAW_SURF_ARinf">'4.1-VFLAW Surface'!$F$19</definedName>
    <definedName name="VFLAW_SURF_CLTH">'4.1-VFLAW Surface'!$F$9</definedName>
    <definedName name="VFLAW_SURF_data">'4.1-VFLAW Surface'!$A$25</definedName>
    <definedName name="VFLAW_SURF_DEPTH1">'4.1-VFLAW Surface'!$F$12</definedName>
    <definedName name="VFLAW_SURF_H">'4.1-VFLAW Surface'!$F$10</definedName>
    <definedName name="VFLAW_SURF_IRAD">'4.1-VFLAW Surface'!$F$7</definedName>
    <definedName name="VFLAW_SURF_NFLAW">'4.1-VFLAW Surface'!$F$11</definedName>
    <definedName name="VFLAW_SURF_OPT">'0-Input Setup'!$B$13</definedName>
    <definedName name="VFLAW_SURF_W">'4.1-VFLAW Surface'!$F$8</definedName>
    <definedName name="VFLAW_WELD_AR10001500">'4.2-VFLAW Weld'!$F$25</definedName>
    <definedName name="VFLAW_WELD_AR100125">'4.2-VFLAW Weld'!$F$16</definedName>
    <definedName name="VFLAW_WELD_AR125150">'4.2-VFLAW Weld'!$F$17</definedName>
    <definedName name="VFLAW_WELD_AR1500inf">'4.2-VFLAW Weld'!$F$26</definedName>
    <definedName name="VFLAW_WELD_AR150200">'4.2-VFLAW Weld'!$F$18</definedName>
    <definedName name="VFLAW_WELD_AR200300">'4.2-VFLAW Weld'!$F$19</definedName>
    <definedName name="VFLAW_WELD_AR300400">'4.2-VFLAW Weld'!$F$20</definedName>
    <definedName name="VFLAW_WELD_AR400500">'4.2-VFLAW Weld'!$F$21</definedName>
    <definedName name="VFLAW_WELD_AR500600">'4.2-VFLAW Weld'!$F$22</definedName>
    <definedName name="VFLAW_WELD_AR600800">'4.2-VFLAW Weld'!$F$23</definedName>
    <definedName name="VFLAW_WELD_AR8001000">'4.2-VFLAW Weld'!$F$24</definedName>
    <definedName name="VFLAW_WELD_ARdefault">'4.2-VFLAW Weld'!$F$15</definedName>
    <definedName name="VFLAW_WELD_CLTH">'4.2-VFLAW Weld'!$F$9</definedName>
    <definedName name="VFLAW_WELD_data">'4.2-VFLAW Weld'!$A$32</definedName>
    <definedName name="VFLAW_WELD_DEPTH1">'4.2-VFLAW Weld'!$F$12</definedName>
    <definedName name="VFLAW_WELD_H">'4.2-VFLAW Weld'!$F$10</definedName>
    <definedName name="VFLAW_WELD_IRAD">'4.2-VFLAW Weld'!$F$7</definedName>
    <definedName name="VFLAW_WELD_NFLAW">'4.2-VFLAW Weld'!$F$11</definedName>
    <definedName name="VFLAW_WELD_OPT">'0-Input Setup'!$B$14</definedName>
    <definedName name="VFLAW_WELD_W">'4.2-VFLAW Weld'!$F$8</definedName>
    <definedName name="VFLAWInput">'0-Input Setup'!$B$12</definedName>
    <definedName name="VFLAWplateCase">'4.3-VFLAW Plate'!$B$2</definedName>
    <definedName name="VFLAWplateIN">'4.3-VFLAW Plate'!$B$3</definedName>
    <definedName name="VFLAWsurfCase">'4.1-VFLAW Surface'!$B$2</definedName>
    <definedName name="VFLAWsurfIN">'4.1-VFLAW Surface'!$B$3</definedName>
    <definedName name="VFLAWweldCase">'4.2-VFLAW Weld'!$B$2</definedName>
    <definedName name="VFLAWweldIN">'4.2-VFLAW Weld'!$B$3</definedName>
    <definedName name="WELD_NWMAJ">'2.2-FAVPFM Embrittlement'!$E$3</definedName>
    <definedName name="WELD_NWSUB">'2.2-FAVPFM Embrittlement'!$E$2</definedName>
  </definedNames>
  <calcPr calcId="191029"/>
</workbook>
</file>

<file path=xl/calcChain.xml><?xml version="1.0" encoding="utf-8"?>
<calcChain xmlns="http://schemas.openxmlformats.org/spreadsheetml/2006/main">
  <c r="R5" i="4" l="1"/>
  <c r="P5" i="4"/>
  <c r="N5" i="4"/>
  <c r="M4" i="4"/>
  <c r="N5" i="3"/>
  <c r="P11" i="10"/>
  <c r="N11" i="10"/>
  <c r="L11" i="10"/>
  <c r="J11" i="10"/>
  <c r="H11" i="10"/>
  <c r="B3" i="10"/>
  <c r="D30" i="7"/>
  <c r="D29" i="7"/>
  <c r="D18" i="7"/>
  <c r="E12" i="1"/>
  <c r="D52" i="7"/>
  <c r="E8" i="7" l="1"/>
  <c r="B3" i="7"/>
  <c r="E7" i="7"/>
  <c r="B3" i="1"/>
  <c r="K2" i="3"/>
  <c r="A2" i="3"/>
  <c r="D22" i="1"/>
  <c r="D12" i="1"/>
  <c r="A3" i="3"/>
  <c r="E37" i="1"/>
  <c r="E36" i="1"/>
  <c r="E33" i="1"/>
  <c r="E22" i="1"/>
  <c r="A29" i="1"/>
  <c r="A28" i="1"/>
  <c r="A27" i="1"/>
  <c r="A26" i="1"/>
  <c r="A25" i="1"/>
  <c r="A19" i="1"/>
  <c r="A18" i="1"/>
  <c r="A17" i="1"/>
  <c r="A16" i="1"/>
  <c r="A15" i="1"/>
  <c r="E23" i="1" a="1"/>
  <c r="E40" i="1" a="1"/>
  <c r="E28" i="1" a="1"/>
  <c r="E14" i="1" a="1"/>
  <c r="E18" i="1" a="1"/>
  <c r="E24" i="1" a="1"/>
  <c r="E9" i="1" a="1"/>
  <c r="O3" i="3" a="1"/>
  <c r="E32" i="1" a="1"/>
  <c r="E29" i="1" a="1"/>
  <c r="E19" i="1" a="1"/>
  <c r="E17" i="1" a="1"/>
  <c r="E3" i="3" a="1"/>
  <c r="E26" i="1" a="1"/>
  <c r="E13" i="1" a="1"/>
  <c r="E41" i="1" a="1"/>
  <c r="E27" i="1" a="1"/>
  <c r="E25" i="1" a="1"/>
  <c r="E15" i="1" a="1"/>
  <c r="E8" i="1" a="1"/>
  <c r="E7" i="1" a="1"/>
  <c r="E16" i="1" a="1"/>
  <c r="E29" i="1" l="1"/>
  <c r="E19" i="1"/>
  <c r="D13" i="7"/>
  <c r="A58" i="7"/>
  <c r="E58" i="7" s="1"/>
  <c r="A52" i="7"/>
  <c r="E52" i="7" s="1"/>
  <c r="A44" i="7"/>
  <c r="A38" i="7"/>
  <c r="A31" i="7"/>
  <c r="A27" i="7"/>
  <c r="A22" i="7"/>
  <c r="E22" i="7" s="1"/>
  <c r="A18" i="7"/>
  <c r="E18" i="7" s="1"/>
  <c r="A11" i="7"/>
  <c r="E11" i="7" s="1"/>
  <c r="A20" i="7"/>
  <c r="E20" i="7" s="1"/>
  <c r="A9" i="7"/>
  <c r="E9" i="7" s="1"/>
  <c r="A47" i="7"/>
  <c r="A32" i="7"/>
  <c r="A24" i="7"/>
  <c r="A12" i="7"/>
  <c r="D12" i="7" s="1"/>
  <c r="A55" i="7"/>
  <c r="E55" i="7" s="1"/>
  <c r="A49" i="7"/>
  <c r="A43" i="7"/>
  <c r="A35" i="7"/>
  <c r="A30" i="7"/>
  <c r="E30" i="7" s="1"/>
  <c r="A26" i="7"/>
  <c r="A21" i="7"/>
  <c r="E21" i="7" s="1"/>
  <c r="A14" i="7"/>
  <c r="A10" i="7"/>
  <c r="E10" i="7" s="1"/>
  <c r="A48" i="7"/>
  <c r="A42" i="7"/>
  <c r="A33" i="7"/>
  <c r="E33" i="7" s="1"/>
  <c r="A29" i="7"/>
  <c r="E29" i="7" s="1"/>
  <c r="A25" i="7"/>
  <c r="E25" i="7" s="1"/>
  <c r="A13" i="7"/>
  <c r="E13" i="7" s="1" a="1"/>
  <c r="A39" i="7"/>
  <c r="A28" i="7"/>
  <c r="E28" i="7" s="1"/>
  <c r="A19" i="7"/>
  <c r="E19" i="7" s="1"/>
  <c r="A17" i="7"/>
  <c r="E17" i="7" s="1"/>
  <c r="A54" i="7"/>
  <c r="E54" i="7" s="1"/>
  <c r="A53" i="7"/>
  <c r="E53" i="7" s="1"/>
  <c r="A23" i="7"/>
  <c r="E23" i="7" s="1"/>
  <c r="A34" i="7"/>
  <c r="E34" i="7" s="1"/>
  <c r="A8" i="7"/>
  <c r="E9" i="1"/>
  <c r="E8" i="1"/>
  <c r="E7" i="1"/>
  <c r="A41" i="7"/>
  <c r="D7" i="7"/>
  <c r="A37" i="7"/>
  <c r="A51" i="7"/>
  <c r="A57" i="7"/>
  <c r="A16" i="7"/>
  <c r="A46" i="7"/>
  <c r="O3" i="3"/>
  <c r="E3" i="3"/>
  <c r="E41" i="1"/>
  <c r="E40" i="1"/>
  <c r="E32" i="1"/>
  <c r="E26" i="1"/>
  <c r="E27" i="1"/>
  <c r="E25" i="1"/>
  <c r="E24" i="1"/>
  <c r="E28" i="1"/>
  <c r="E23" i="1"/>
  <c r="E13" i="1"/>
  <c r="E18" i="1"/>
  <c r="E14" i="1"/>
  <c r="E17" i="1"/>
  <c r="E16" i="1"/>
  <c r="E15" i="1"/>
  <c r="E10" i="10"/>
  <c r="G10" i="10" s="1"/>
  <c r="I10" i="10" s="1"/>
  <c r="K10" i="10" s="1"/>
  <c r="M10" i="10" s="1"/>
  <c r="O10" i="10" s="1"/>
  <c r="G4" i="4"/>
  <c r="E26" i="7" a="1"/>
  <c r="E32" i="7" a="1"/>
  <c r="E39" i="7" a="1"/>
  <c r="E35" i="7" a="1"/>
  <c r="E42" i="7" a="1"/>
  <c r="E12" i="7" a="1"/>
  <c r="E44" i="7" a="1"/>
  <c r="E47" i="7" a="1"/>
  <c r="E43" i="7" a="1"/>
  <c r="E27" i="7" a="1"/>
  <c r="E31" i="7" a="1"/>
  <c r="E38" i="7" a="1"/>
  <c r="E48" i="7" a="1"/>
  <c r="E49" i="7" a="1"/>
  <c r="E27" i="7" l="1"/>
  <c r="E49" i="7"/>
  <c r="E26" i="7"/>
  <c r="E39" i="7"/>
  <c r="E43" i="7"/>
  <c r="E35" i="7"/>
  <c r="E42" i="7"/>
  <c r="E44" i="7"/>
  <c r="E32" i="7"/>
  <c r="E31" i="7"/>
  <c r="E48" i="7"/>
  <c r="E47" i="7"/>
  <c r="E38" i="7"/>
  <c r="E13" i="7"/>
  <c r="E12" i="7"/>
  <c r="B7" i="22"/>
  <c r="A15" i="22" s="1"/>
  <c r="B3" i="22"/>
  <c r="B3" i="21" l="1"/>
  <c r="A12" i="21"/>
  <c r="B31" i="21"/>
  <c r="A31" i="21"/>
  <c r="A32" i="21" s="1"/>
  <c r="A33" i="21" s="1"/>
  <c r="A34" i="21" s="1"/>
  <c r="A35" i="21" s="1"/>
  <c r="A36" i="21" s="1"/>
  <c r="A37" i="21" s="1"/>
  <c r="A38" i="21" s="1"/>
  <c r="A39" i="21" s="1"/>
  <c r="A40" i="21" s="1"/>
  <c r="A41" i="21" s="1"/>
  <c r="A42" i="21" s="1"/>
  <c r="A43" i="21" s="1"/>
  <c r="A44" i="21" s="1"/>
  <c r="A45" i="21" s="1"/>
  <c r="A46" i="21" s="1"/>
  <c r="A47" i="21" s="1"/>
  <c r="A48" i="21" s="1"/>
  <c r="A49" i="21" s="1"/>
  <c r="A50" i="21" s="1"/>
  <c r="A51" i="21" s="1"/>
  <c r="A52" i="21" s="1"/>
  <c r="A53" i="21" s="1"/>
  <c r="A54" i="21" s="1"/>
  <c r="A55" i="21" s="1"/>
  <c r="A56" i="21" s="1"/>
  <c r="A57" i="21" s="1"/>
  <c r="A58" i="21" s="1"/>
  <c r="A59" i="21" s="1"/>
  <c r="A60" i="21" s="1"/>
  <c r="A61" i="21" s="1"/>
  <c r="A62" i="21" s="1"/>
  <c r="A63" i="21" s="1"/>
  <c r="A64" i="21" s="1"/>
  <c r="A65" i="21" s="1"/>
  <c r="A66" i="21" s="1"/>
  <c r="A67" i="21" s="1"/>
  <c r="A68" i="21" s="1"/>
  <c r="A69" i="21" s="1"/>
  <c r="A70" i="21" s="1"/>
  <c r="A71" i="21" s="1"/>
  <c r="A72" i="21" s="1"/>
  <c r="A73" i="21" s="1"/>
  <c r="A74" i="21" s="1"/>
  <c r="A75" i="21" s="1"/>
  <c r="A76" i="21" s="1"/>
  <c r="A77" i="21" s="1"/>
  <c r="A78" i="21" s="1"/>
  <c r="A79" i="21" s="1"/>
  <c r="A80" i="21" s="1"/>
  <c r="A81" i="21" s="1"/>
  <c r="A82" i="21" s="1"/>
  <c r="A83" i="21" s="1"/>
  <c r="A84" i="21" s="1"/>
  <c r="A85" i="21" s="1"/>
  <c r="A86" i="21" s="1"/>
  <c r="A87" i="21" s="1"/>
  <c r="A88" i="21" s="1"/>
  <c r="A89" i="21" s="1"/>
  <c r="A90" i="21" s="1"/>
  <c r="A91" i="21" s="1"/>
  <c r="A92" i="21" s="1"/>
  <c r="A93" i="21" s="1"/>
  <c r="A94" i="21" s="1"/>
  <c r="A95" i="21" s="1"/>
  <c r="A96" i="21" s="1"/>
  <c r="A97" i="21" s="1"/>
  <c r="A98" i="21" s="1"/>
  <c r="A99" i="21" s="1"/>
  <c r="A100" i="21" s="1"/>
  <c r="A101" i="21" s="1"/>
  <c r="A102" i="21" s="1"/>
  <c r="A103" i="21" s="1"/>
  <c r="A104" i="21" s="1"/>
  <c r="A105" i="21" s="1"/>
  <c r="A106" i="21" s="1"/>
  <c r="A107" i="21" s="1"/>
  <c r="A108" i="21" s="1"/>
  <c r="A109" i="21" s="1"/>
  <c r="A110" i="21" s="1"/>
  <c r="A111" i="21" s="1"/>
  <c r="A112" i="21" s="1"/>
  <c r="A113" i="21" s="1"/>
  <c r="A114" i="21" s="1"/>
  <c r="A115" i="21" s="1"/>
  <c r="A116" i="21" s="1"/>
  <c r="A117" i="21" s="1"/>
  <c r="A118" i="21" s="1"/>
  <c r="A119" i="21" s="1"/>
  <c r="A120" i="21" s="1"/>
  <c r="A121" i="21" s="1"/>
  <c r="A122" i="21" s="1"/>
  <c r="A123" i="21" s="1"/>
  <c r="A124" i="21" s="1"/>
  <c r="A125" i="21" s="1"/>
  <c r="A126" i="21" s="1"/>
  <c r="A127" i="21" s="1"/>
  <c r="A128" i="21" s="1"/>
  <c r="A129" i="21" s="1"/>
  <c r="A130" i="21" s="1"/>
  <c r="A131" i="21" s="1"/>
  <c r="B30" i="21"/>
  <c r="A30" i="21"/>
  <c r="B29" i="21"/>
  <c r="A29" i="21"/>
  <c r="A28" i="21"/>
  <c r="A15" i="21"/>
  <c r="A14" i="21"/>
  <c r="D12" i="21"/>
  <c r="D11" i="21"/>
  <c r="A11" i="21"/>
  <c r="A10" i="21"/>
  <c r="D9" i="21"/>
  <c r="A9" i="21"/>
  <c r="D8" i="21"/>
  <c r="A8" i="21"/>
  <c r="D7" i="21"/>
  <c r="A7" i="21"/>
  <c r="A6" i="21"/>
  <c r="A5" i="21"/>
  <c r="F15" i="21"/>
  <c r="F26" i="21" s="1"/>
  <c r="D15" i="21"/>
  <c r="F12" i="21"/>
  <c r="F11" i="21"/>
  <c r="F10" i="21"/>
  <c r="F9" i="21"/>
  <c r="F8" i="21"/>
  <c r="F7" i="21"/>
  <c r="B3" i="20"/>
  <c r="B31" i="20"/>
  <c r="A31" i="20"/>
  <c r="A32" i="20" s="1"/>
  <c r="A33" i="20" s="1"/>
  <c r="A34" i="20" s="1"/>
  <c r="A35" i="20" s="1"/>
  <c r="A36" i="20" s="1"/>
  <c r="A37" i="20" s="1"/>
  <c r="A38" i="20" s="1"/>
  <c r="A39" i="20" s="1"/>
  <c r="A40" i="20" s="1"/>
  <c r="A41" i="20" s="1"/>
  <c r="A42" i="20" s="1"/>
  <c r="A43" i="20" s="1"/>
  <c r="A44" i="20" s="1"/>
  <c r="A45" i="20" s="1"/>
  <c r="A46" i="20" s="1"/>
  <c r="A47" i="20" s="1"/>
  <c r="A48" i="20" s="1"/>
  <c r="A49" i="20" s="1"/>
  <c r="A50" i="20" s="1"/>
  <c r="A51" i="20" s="1"/>
  <c r="A52" i="20" s="1"/>
  <c r="A53" i="20" s="1"/>
  <c r="A54" i="20" s="1"/>
  <c r="A55" i="20" s="1"/>
  <c r="A56" i="20" s="1"/>
  <c r="A57" i="20" s="1"/>
  <c r="A58" i="20" s="1"/>
  <c r="A59" i="20" s="1"/>
  <c r="A60" i="20" s="1"/>
  <c r="A61" i="20" s="1"/>
  <c r="A62" i="20" s="1"/>
  <c r="A63" i="20" s="1"/>
  <c r="A64" i="20" s="1"/>
  <c r="A65" i="20" s="1"/>
  <c r="A66" i="20" s="1"/>
  <c r="A67" i="20" s="1"/>
  <c r="A68" i="20" s="1"/>
  <c r="A69" i="20" s="1"/>
  <c r="A70" i="20" s="1"/>
  <c r="A71" i="20" s="1"/>
  <c r="A72" i="20" s="1"/>
  <c r="A73" i="20" s="1"/>
  <c r="A74" i="20" s="1"/>
  <c r="A75" i="20" s="1"/>
  <c r="A76" i="20" s="1"/>
  <c r="A77" i="20" s="1"/>
  <c r="A78" i="20" s="1"/>
  <c r="A79" i="20" s="1"/>
  <c r="A80" i="20" s="1"/>
  <c r="A81" i="20" s="1"/>
  <c r="A82" i="20" s="1"/>
  <c r="A83" i="20" s="1"/>
  <c r="A84" i="20" s="1"/>
  <c r="A85" i="20" s="1"/>
  <c r="A86" i="20" s="1"/>
  <c r="A87" i="20" s="1"/>
  <c r="A88" i="20" s="1"/>
  <c r="A89" i="20" s="1"/>
  <c r="A90" i="20" s="1"/>
  <c r="A91" i="20" s="1"/>
  <c r="A92" i="20" s="1"/>
  <c r="A93" i="20" s="1"/>
  <c r="A94" i="20" s="1"/>
  <c r="A95" i="20" s="1"/>
  <c r="A96" i="20" s="1"/>
  <c r="A97" i="20" s="1"/>
  <c r="A98" i="20" s="1"/>
  <c r="A99" i="20" s="1"/>
  <c r="A100" i="20" s="1"/>
  <c r="A101" i="20" s="1"/>
  <c r="A102" i="20" s="1"/>
  <c r="A103" i="20" s="1"/>
  <c r="A104" i="20" s="1"/>
  <c r="A105" i="20" s="1"/>
  <c r="A106" i="20" s="1"/>
  <c r="A107" i="20" s="1"/>
  <c r="A108" i="20" s="1"/>
  <c r="A109" i="20" s="1"/>
  <c r="A110" i="20" s="1"/>
  <c r="A111" i="20" s="1"/>
  <c r="A112" i="20" s="1"/>
  <c r="A113" i="20" s="1"/>
  <c r="A114" i="20" s="1"/>
  <c r="A115" i="20" s="1"/>
  <c r="A116" i="20" s="1"/>
  <c r="A117" i="20" s="1"/>
  <c r="A118" i="20" s="1"/>
  <c r="A119" i="20" s="1"/>
  <c r="A120" i="20" s="1"/>
  <c r="A121" i="20" s="1"/>
  <c r="A122" i="20" s="1"/>
  <c r="A123" i="20" s="1"/>
  <c r="A124" i="20" s="1"/>
  <c r="A125" i="20" s="1"/>
  <c r="A126" i="20" s="1"/>
  <c r="A127" i="20" s="1"/>
  <c r="A128" i="20" s="1"/>
  <c r="A129" i="20" s="1"/>
  <c r="A130" i="20" s="1"/>
  <c r="A131" i="20" s="1"/>
  <c r="B30" i="20"/>
  <c r="A30" i="20"/>
  <c r="D12" i="20"/>
  <c r="D11" i="20"/>
  <c r="D9" i="20"/>
  <c r="D8" i="20"/>
  <c r="D7" i="20"/>
  <c r="B29" i="20"/>
  <c r="A29" i="20"/>
  <c r="A28" i="20"/>
  <c r="A15" i="20"/>
  <c r="A14" i="20"/>
  <c r="A12" i="20"/>
  <c r="A11" i="20"/>
  <c r="A10" i="20"/>
  <c r="A9" i="20"/>
  <c r="A8" i="20"/>
  <c r="A7" i="20"/>
  <c r="A6" i="20"/>
  <c r="A5" i="20"/>
  <c r="F15" i="20"/>
  <c r="N124" i="20" s="1"/>
  <c r="F12" i="20"/>
  <c r="F11" i="20"/>
  <c r="F10" i="20"/>
  <c r="F9" i="20"/>
  <c r="F8" i="20"/>
  <c r="F7" i="20"/>
  <c r="N94" i="21" l="1"/>
  <c r="A16" i="21"/>
  <c r="N122" i="21"/>
  <c r="C23" i="21"/>
  <c r="N37" i="21"/>
  <c r="N66" i="21"/>
  <c r="D18" i="21"/>
  <c r="A25" i="21"/>
  <c r="N39" i="21"/>
  <c r="N67" i="21"/>
  <c r="N95" i="21"/>
  <c r="N125" i="21"/>
  <c r="D20" i="21"/>
  <c r="A26" i="21"/>
  <c r="F29" i="21"/>
  <c r="F30" i="21"/>
  <c r="E31" i="21"/>
  <c r="N51" i="21"/>
  <c r="N79" i="21"/>
  <c r="N109" i="21"/>
  <c r="A21" i="21"/>
  <c r="M29" i="21"/>
  <c r="L30" i="21"/>
  <c r="G31" i="21"/>
  <c r="N53" i="21"/>
  <c r="N82" i="21"/>
  <c r="N110" i="21"/>
  <c r="L31" i="21"/>
  <c r="N45" i="21"/>
  <c r="N58" i="21"/>
  <c r="N73" i="21"/>
  <c r="N87" i="21"/>
  <c r="N101" i="21"/>
  <c r="N115" i="21"/>
  <c r="N130" i="21"/>
  <c r="F16" i="21"/>
  <c r="A18" i="21"/>
  <c r="D22" i="21"/>
  <c r="G29" i="21"/>
  <c r="E30" i="21"/>
  <c r="M31" i="21"/>
  <c r="N46" i="21"/>
  <c r="N61" i="21"/>
  <c r="N74" i="21"/>
  <c r="N89" i="21"/>
  <c r="N103" i="21"/>
  <c r="N117" i="21"/>
  <c r="N131" i="21"/>
  <c r="F25" i="21"/>
  <c r="A17" i="21"/>
  <c r="C19" i="21"/>
  <c r="C21" i="21"/>
  <c r="A24" i="21"/>
  <c r="C26" i="21"/>
  <c r="I29" i="21"/>
  <c r="I30" i="21"/>
  <c r="H31" i="21"/>
  <c r="N34" i="21"/>
  <c r="N41" i="21"/>
  <c r="N47" i="21"/>
  <c r="N55" i="21"/>
  <c r="N62" i="21"/>
  <c r="N69" i="21"/>
  <c r="N77" i="21"/>
  <c r="N83" i="21"/>
  <c r="N90" i="21"/>
  <c r="N98" i="21"/>
  <c r="N105" i="21"/>
  <c r="N111" i="21"/>
  <c r="N119" i="21"/>
  <c r="N126" i="21"/>
  <c r="F21" i="21"/>
  <c r="C17" i="21"/>
  <c r="D19" i="21"/>
  <c r="C22" i="21"/>
  <c r="D24" i="21"/>
  <c r="D26" i="21"/>
  <c r="C29" i="21"/>
  <c r="K29" i="21"/>
  <c r="D30" i="21"/>
  <c r="J30" i="21"/>
  <c r="C31" i="21"/>
  <c r="K31" i="21"/>
  <c r="N35" i="21"/>
  <c r="N42" i="21"/>
  <c r="N50" i="21"/>
  <c r="N57" i="21"/>
  <c r="N63" i="21"/>
  <c r="N71" i="21"/>
  <c r="N78" i="21"/>
  <c r="N85" i="21"/>
  <c r="N93" i="21"/>
  <c r="N99" i="21"/>
  <c r="N106" i="21"/>
  <c r="N114" i="21"/>
  <c r="N121" i="21"/>
  <c r="N127" i="21"/>
  <c r="F19" i="21"/>
  <c r="F23" i="21"/>
  <c r="F18" i="21"/>
  <c r="D16" i="21"/>
  <c r="C18" i="21"/>
  <c r="A20" i="21"/>
  <c r="A22" i="21"/>
  <c r="D23" i="21"/>
  <c r="C25" i="21"/>
  <c r="E29" i="21"/>
  <c r="J29" i="21"/>
  <c r="H30" i="21"/>
  <c r="M30" i="21"/>
  <c r="D31" i="21"/>
  <c r="I31" i="21"/>
  <c r="N33" i="21"/>
  <c r="N38" i="21"/>
  <c r="N43" i="21"/>
  <c r="N49" i="21"/>
  <c r="N54" i="21"/>
  <c r="N59" i="21"/>
  <c r="N65" i="21"/>
  <c r="N70" i="21"/>
  <c r="N75" i="21"/>
  <c r="N81" i="21"/>
  <c r="N86" i="21"/>
  <c r="N91" i="21"/>
  <c r="N97" i="21"/>
  <c r="N102" i="21"/>
  <c r="N107" i="21"/>
  <c r="N113" i="21"/>
  <c r="N118" i="21"/>
  <c r="N123" i="21"/>
  <c r="N129" i="21"/>
  <c r="F22" i="21"/>
  <c r="F17" i="21"/>
  <c r="C16" i="21"/>
  <c r="D17" i="21"/>
  <c r="A19" i="21"/>
  <c r="C20" i="21"/>
  <c r="D21" i="21"/>
  <c r="A23" i="21"/>
  <c r="C24" i="21"/>
  <c r="D25" i="21"/>
  <c r="D29" i="21"/>
  <c r="H29" i="21"/>
  <c r="L29" i="21"/>
  <c r="C30" i="21"/>
  <c r="G30" i="21"/>
  <c r="K30" i="21"/>
  <c r="F31" i="21"/>
  <c r="J31" i="21"/>
  <c r="N32" i="21"/>
  <c r="N36" i="21"/>
  <c r="N40" i="21"/>
  <c r="N44" i="21"/>
  <c r="N48" i="21"/>
  <c r="N52" i="21"/>
  <c r="N56" i="21"/>
  <c r="N60" i="21"/>
  <c r="N64" i="21"/>
  <c r="N68" i="21"/>
  <c r="N72" i="21"/>
  <c r="N76" i="21"/>
  <c r="N80" i="21"/>
  <c r="N84" i="21"/>
  <c r="N88" i="21"/>
  <c r="N92" i="21"/>
  <c r="N96" i="21"/>
  <c r="N100" i="21"/>
  <c r="N104" i="21"/>
  <c r="N108" i="21"/>
  <c r="N112" i="21"/>
  <c r="N116" i="21"/>
  <c r="N120" i="21"/>
  <c r="N124" i="21"/>
  <c r="N128" i="21"/>
  <c r="F24" i="21"/>
  <c r="F20" i="21"/>
  <c r="F22" i="20"/>
  <c r="F23" i="20"/>
  <c r="F21" i="20"/>
  <c r="F20" i="20"/>
  <c r="F16" i="20"/>
  <c r="F19" i="20"/>
  <c r="F18" i="20"/>
  <c r="F25" i="20"/>
  <c r="F17" i="20"/>
  <c r="F24" i="20"/>
  <c r="F26" i="20"/>
  <c r="D15" i="20"/>
  <c r="G29" i="20"/>
  <c r="F30" i="20"/>
  <c r="F31" i="20"/>
  <c r="I31" i="20"/>
  <c r="A19" i="20"/>
  <c r="J29" i="20"/>
  <c r="J30" i="20"/>
  <c r="J31" i="20"/>
  <c r="D20" i="20"/>
  <c r="C20" i="20"/>
  <c r="A20" i="20"/>
  <c r="I30" i="20"/>
  <c r="C21" i="20"/>
  <c r="C30" i="20"/>
  <c r="K30" i="20"/>
  <c r="K31" i="20"/>
  <c r="D19" i="20"/>
  <c r="C19" i="20"/>
  <c r="A21" i="20"/>
  <c r="I29" i="20"/>
  <c r="D30" i="20"/>
  <c r="L30" i="20"/>
  <c r="L31" i="20"/>
  <c r="C26" i="20"/>
  <c r="C18" i="20"/>
  <c r="A22" i="20"/>
  <c r="K29" i="20"/>
  <c r="D21" i="20"/>
  <c r="H29" i="20"/>
  <c r="E30" i="20"/>
  <c r="M30" i="20"/>
  <c r="D25" i="20"/>
  <c r="C25" i="20"/>
  <c r="C17" i="20"/>
  <c r="A23" i="20"/>
  <c r="D24" i="20"/>
  <c r="C24" i="20"/>
  <c r="A16" i="20"/>
  <c r="A24" i="20"/>
  <c r="M29" i="20"/>
  <c r="D23" i="20"/>
  <c r="A17" i="20"/>
  <c r="A25" i="20"/>
  <c r="G30" i="20"/>
  <c r="G31" i="20"/>
  <c r="C23" i="20"/>
  <c r="L29" i="20"/>
  <c r="H30" i="20"/>
  <c r="H31" i="20"/>
  <c r="D22" i="20"/>
  <c r="C22" i="20"/>
  <c r="A18" i="20"/>
  <c r="A26" i="20"/>
  <c r="N53" i="20"/>
  <c r="N85" i="20"/>
  <c r="N109" i="20"/>
  <c r="N125" i="20"/>
  <c r="E31" i="20"/>
  <c r="N38" i="20"/>
  <c r="N46" i="20"/>
  <c r="N54" i="20"/>
  <c r="N62" i="20"/>
  <c r="N70" i="20"/>
  <c r="N78" i="20"/>
  <c r="N86" i="20"/>
  <c r="N94" i="20"/>
  <c r="N102" i="20"/>
  <c r="N110" i="20"/>
  <c r="N118" i="20"/>
  <c r="N126" i="20"/>
  <c r="D31" i="20"/>
  <c r="N69" i="20"/>
  <c r="N117" i="20"/>
  <c r="C29" i="20"/>
  <c r="D18" i="20"/>
  <c r="M31" i="20"/>
  <c r="N39" i="20"/>
  <c r="N47" i="20"/>
  <c r="N55" i="20"/>
  <c r="N63" i="20"/>
  <c r="N71" i="20"/>
  <c r="N79" i="20"/>
  <c r="N87" i="20"/>
  <c r="N95" i="20"/>
  <c r="N103" i="20"/>
  <c r="N111" i="20"/>
  <c r="N119" i="20"/>
  <c r="N127" i="20"/>
  <c r="N61" i="20"/>
  <c r="N101" i="20"/>
  <c r="D29" i="20"/>
  <c r="C16" i="20"/>
  <c r="N32" i="20"/>
  <c r="N40" i="20"/>
  <c r="N48" i="20"/>
  <c r="N56" i="20"/>
  <c r="N64" i="20"/>
  <c r="N72" i="20"/>
  <c r="N80" i="20"/>
  <c r="N88" i="20"/>
  <c r="N96" i="20"/>
  <c r="N104" i="20"/>
  <c r="N112" i="20"/>
  <c r="N120" i="20"/>
  <c r="N128" i="20"/>
  <c r="N37" i="20"/>
  <c r="N77" i="20"/>
  <c r="N93" i="20"/>
  <c r="E29" i="20"/>
  <c r="D16" i="20"/>
  <c r="N33" i="20"/>
  <c r="N41" i="20"/>
  <c r="N49" i="20"/>
  <c r="N57" i="20"/>
  <c r="N65" i="20"/>
  <c r="N73" i="20"/>
  <c r="N81" i="20"/>
  <c r="N89" i="20"/>
  <c r="N97" i="20"/>
  <c r="N105" i="20"/>
  <c r="N113" i="20"/>
  <c r="N121" i="20"/>
  <c r="N129" i="20"/>
  <c r="D26" i="20"/>
  <c r="N34" i="20"/>
  <c r="N42" i="20"/>
  <c r="N50" i="20"/>
  <c r="N58" i="20"/>
  <c r="N66" i="20"/>
  <c r="N74" i="20"/>
  <c r="N82" i="20"/>
  <c r="N90" i="20"/>
  <c r="N98" i="20"/>
  <c r="N106" i="20"/>
  <c r="N114" i="20"/>
  <c r="N122" i="20"/>
  <c r="N130" i="20"/>
  <c r="N45" i="20"/>
  <c r="N35" i="20"/>
  <c r="N43" i="20"/>
  <c r="N51" i="20"/>
  <c r="N59" i="20"/>
  <c r="N67" i="20"/>
  <c r="N75" i="20"/>
  <c r="N83" i="20"/>
  <c r="N91" i="20"/>
  <c r="N99" i="20"/>
  <c r="N107" i="20"/>
  <c r="N115" i="20"/>
  <c r="N123" i="20"/>
  <c r="N131" i="20"/>
  <c r="F29" i="20"/>
  <c r="D17" i="20"/>
  <c r="C31" i="20"/>
  <c r="N36" i="20"/>
  <c r="N44" i="20"/>
  <c r="N52" i="20"/>
  <c r="N60" i="20"/>
  <c r="N68" i="20"/>
  <c r="N76" i="20"/>
  <c r="N84" i="20"/>
  <c r="N92" i="20"/>
  <c r="N100" i="20"/>
  <c r="N108" i="20"/>
  <c r="N116" i="20"/>
  <c r="B3" i="12" l="1"/>
  <c r="F10" i="12"/>
  <c r="A15" i="12" l="1"/>
  <c r="A11" i="12"/>
  <c r="A9" i="12"/>
  <c r="A8" i="12"/>
  <c r="A7" i="12"/>
  <c r="D8" i="12"/>
  <c r="D9" i="12"/>
  <c r="D11" i="12"/>
  <c r="D7" i="12"/>
  <c r="D12" i="12"/>
  <c r="A6" i="12"/>
  <c r="A5" i="12"/>
  <c r="A22" i="12"/>
  <c r="F15" i="12" l="1"/>
  <c r="C15" i="5"/>
  <c r="C14" i="5"/>
  <c r="A21" i="12"/>
  <c r="B23" i="12"/>
  <c r="B24" i="12"/>
  <c r="A24" i="12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23" i="12"/>
  <c r="F19" i="12" l="1"/>
  <c r="G26" i="12"/>
  <c r="G34" i="12"/>
  <c r="G42" i="12"/>
  <c r="G50" i="12"/>
  <c r="G58" i="12"/>
  <c r="G66" i="12"/>
  <c r="G74" i="12"/>
  <c r="G82" i="12"/>
  <c r="G90" i="12"/>
  <c r="G98" i="12"/>
  <c r="G106" i="12"/>
  <c r="G114" i="12"/>
  <c r="G122" i="12"/>
  <c r="G88" i="12"/>
  <c r="G113" i="12"/>
  <c r="G27" i="12"/>
  <c r="G35" i="12"/>
  <c r="G43" i="12"/>
  <c r="G51" i="12"/>
  <c r="G59" i="12"/>
  <c r="G67" i="12"/>
  <c r="G75" i="12"/>
  <c r="G83" i="12"/>
  <c r="G91" i="12"/>
  <c r="G99" i="12"/>
  <c r="G107" i="12"/>
  <c r="G115" i="12"/>
  <c r="G123" i="12"/>
  <c r="G48" i="12"/>
  <c r="G96" i="12"/>
  <c r="G121" i="12"/>
  <c r="G28" i="12"/>
  <c r="G36" i="12"/>
  <c r="G44" i="12"/>
  <c r="G52" i="12"/>
  <c r="G60" i="12"/>
  <c r="G68" i="12"/>
  <c r="G76" i="12"/>
  <c r="G84" i="12"/>
  <c r="G92" i="12"/>
  <c r="G100" i="12"/>
  <c r="G108" i="12"/>
  <c r="G116" i="12"/>
  <c r="G124" i="12"/>
  <c r="G56" i="12"/>
  <c r="G80" i="12"/>
  <c r="G105" i="12"/>
  <c r="G29" i="12"/>
  <c r="G37" i="12"/>
  <c r="G45" i="12"/>
  <c r="G53" i="12"/>
  <c r="G61" i="12"/>
  <c r="G69" i="12"/>
  <c r="G77" i="12"/>
  <c r="G85" i="12"/>
  <c r="G93" i="12"/>
  <c r="G101" i="12"/>
  <c r="G109" i="12"/>
  <c r="G117" i="12"/>
  <c r="G25" i="12"/>
  <c r="G64" i="12"/>
  <c r="G112" i="12"/>
  <c r="G30" i="12"/>
  <c r="G38" i="12"/>
  <c r="G46" i="12"/>
  <c r="G54" i="12"/>
  <c r="G62" i="12"/>
  <c r="G70" i="12"/>
  <c r="G78" i="12"/>
  <c r="G86" i="12"/>
  <c r="G94" i="12"/>
  <c r="G102" i="12"/>
  <c r="G110" i="12"/>
  <c r="G118" i="12"/>
  <c r="G40" i="12"/>
  <c r="G72" i="12"/>
  <c r="G120" i="12"/>
  <c r="G31" i="12"/>
  <c r="G39" i="12"/>
  <c r="G47" i="12"/>
  <c r="G55" i="12"/>
  <c r="G63" i="12"/>
  <c r="G71" i="12"/>
  <c r="G79" i="12"/>
  <c r="G87" i="12"/>
  <c r="G95" i="12"/>
  <c r="G103" i="12"/>
  <c r="G111" i="12"/>
  <c r="G119" i="12"/>
  <c r="G32" i="12"/>
  <c r="G104" i="12"/>
  <c r="G33" i="12"/>
  <c r="G41" i="12"/>
  <c r="G49" i="12"/>
  <c r="G57" i="12"/>
  <c r="G65" i="12"/>
  <c r="G73" i="12"/>
  <c r="G81" i="12"/>
  <c r="G89" i="12"/>
  <c r="G97" i="12"/>
  <c r="B22" i="12"/>
  <c r="C24" i="12"/>
  <c r="D17" i="12"/>
  <c r="D22" i="12"/>
  <c r="D24" i="12"/>
  <c r="C22" i="12"/>
  <c r="A18" i="12"/>
  <c r="E22" i="12"/>
  <c r="E24" i="12"/>
  <c r="C18" i="12"/>
  <c r="F22" i="12"/>
  <c r="F24" i="12"/>
  <c r="A16" i="12"/>
  <c r="D18" i="12"/>
  <c r="C23" i="12"/>
  <c r="F16" i="12"/>
  <c r="C16" i="12"/>
  <c r="A19" i="12"/>
  <c r="D23" i="12"/>
  <c r="F17" i="12"/>
  <c r="D16" i="12"/>
  <c r="C19" i="12"/>
  <c r="E23" i="12"/>
  <c r="F18" i="12"/>
  <c r="C17" i="12"/>
  <c r="A17" i="12"/>
  <c r="D19" i="12"/>
  <c r="F23" i="12"/>
  <c r="A12" i="12"/>
  <c r="D15" i="12"/>
  <c r="A14" i="12"/>
  <c r="F12" i="12"/>
  <c r="F11" i="12"/>
  <c r="F9" i="12"/>
  <c r="F8" i="12"/>
  <c r="F7" i="12"/>
  <c r="C13" i="5"/>
  <c r="A15" i="5"/>
  <c r="A14" i="5"/>
  <c r="A13" i="5"/>
  <c r="C12" i="5"/>
  <c r="F11" i="10" l="1"/>
  <c r="F7" i="10" l="1"/>
  <c r="B4" i="10"/>
  <c r="B4" i="7"/>
  <c r="E7" i="8" l="1"/>
  <c r="E6" i="8"/>
  <c r="E3" i="8"/>
  <c r="E2" i="8"/>
  <c r="B61" i="7"/>
  <c r="A61" i="7"/>
  <c r="D61" i="7" l="1"/>
  <c r="C61" i="7"/>
  <c r="D58" i="7"/>
  <c r="L5" i="4" l="1"/>
  <c r="J5" i="4"/>
  <c r="H5" i="4"/>
  <c r="E14" i="7" a="1"/>
  <c r="E14" i="7" l="1"/>
  <c r="E44" i="1"/>
  <c r="T5" i="3" l="1"/>
  <c r="R5" i="3"/>
  <c r="P5" i="3"/>
  <c r="L5" i="3"/>
  <c r="J5" i="3"/>
  <c r="H5" i="3"/>
  <c r="F5" i="3"/>
  <c r="D5" i="3"/>
  <c r="B5" i="3"/>
  <c r="B4" i="1" l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<sst xmlns="http://schemas.openxmlformats.org/spreadsheetml/2006/main" count="1685" uniqueCount="974">
  <si>
    <t>Geometry</t>
  </si>
  <si>
    <t>no</t>
  </si>
  <si>
    <t>Base Metal Thermo-Elastic Properties</t>
  </si>
  <si>
    <t>Cladding Thermo-Elastic Properties</t>
  </si>
  <si>
    <t>Stress Free Temperature</t>
  </si>
  <si>
    <t>Weld Residual Stress (WRS)</t>
  </si>
  <si>
    <t>Time</t>
  </si>
  <si>
    <t>Number of TH transients</t>
  </si>
  <si>
    <t>Thermal Hydraulic (TH) Transients</t>
  </si>
  <si>
    <t>General Information</t>
  </si>
  <si>
    <t>Temperature Dependent Material Properties</t>
  </si>
  <si>
    <t>Temperature</t>
  </si>
  <si>
    <t>Thermal Conductivity</t>
  </si>
  <si>
    <t>Specific Heat</t>
  </si>
  <si>
    <t>Young's Modulus</t>
  </si>
  <si>
    <t>Thermal Expansion Coefficient</t>
  </si>
  <si>
    <t>Poisson's Ratio</t>
  </si>
  <si>
    <t>FAVLoad Input?</t>
  </si>
  <si>
    <t>FAVPFM Input?</t>
  </si>
  <si>
    <t>FAVPost Input?</t>
  </si>
  <si>
    <t>PFM Transient Number</t>
  </si>
  <si>
    <t>Thermal-Hydraulic Sequence Number</t>
  </si>
  <si>
    <t>Convective Heat Transfer Coefficient</t>
  </si>
  <si>
    <t>Enter at least 1 transient</t>
  </si>
  <si>
    <t>ksi</t>
  </si>
  <si>
    <t>Coolant Temperature</t>
  </si>
  <si>
    <t>Coolant Pressure</t>
  </si>
  <si>
    <t>Initial Coolant Temperature</t>
  </si>
  <si>
    <t>Final Coolant temperature</t>
  </si>
  <si>
    <t>Key</t>
  </si>
  <si>
    <t>Follow these instructions</t>
  </si>
  <si>
    <t>Fill these cells in: these are required inputs</t>
  </si>
  <si>
    <t>Input descriptions</t>
  </si>
  <si>
    <t>in</t>
  </si>
  <si>
    <t># of input pairs</t>
  </si>
  <si>
    <t>NBK_NK</t>
  </si>
  <si>
    <t>NBC_NC</t>
  </si>
  <si>
    <t>NBE_NE</t>
  </si>
  <si>
    <t>NALF_NA</t>
  </si>
  <si>
    <t>NBNU_NU</t>
  </si>
  <si>
    <t>NK_N</t>
  </si>
  <si>
    <t>NC_N</t>
  </si>
  <si>
    <t>NE_N</t>
  </si>
  <si>
    <t>NALF_N</t>
  </si>
  <si>
    <t>NNU_N</t>
  </si>
  <si>
    <t>NHTH_NC</t>
  </si>
  <si>
    <t>NTTH_NT</t>
  </si>
  <si>
    <t>NPTH_NP</t>
  </si>
  <si>
    <t>1/min</t>
  </si>
  <si>
    <t>Decay Constant</t>
  </si>
  <si>
    <t>Fill column B and individual transient tables to the right for each transient.</t>
  </si>
  <si>
    <t>Also fill out columns C, D, and E if using exponentially decaying coolant temperature option (in this case, do not input coolant temperature for the corresponding transients).</t>
  </si>
  <si>
    <t>Optional Inputs: to be filled in as appropriate</t>
  </si>
  <si>
    <t>Transient Specifications</t>
  </si>
  <si>
    <t>yes</t>
  </si>
  <si>
    <t>FAVLoad Case Description</t>
  </si>
  <si>
    <t>FAVLoad Input file name</t>
  </si>
  <si>
    <t>FAVLoad Output file name</t>
  </si>
  <si>
    <t>FAVPFM Case Description</t>
  </si>
  <si>
    <t>FAVPFM Input file name</t>
  </si>
  <si>
    <t>FAVPFM Output file name</t>
  </si>
  <si>
    <t>Must be between 0.25 and 0.95</t>
  </si>
  <si>
    <t>Perform a deterministic analysis?</t>
  </si>
  <si>
    <t>Analysis Parameters</t>
  </si>
  <si>
    <t>EFPY</t>
  </si>
  <si>
    <t>wt%</t>
  </si>
  <si>
    <t>Number of weld subregions</t>
  </si>
  <si>
    <t>Number of weld major regions</t>
  </si>
  <si>
    <t>Number of plate subregions</t>
  </si>
  <si>
    <t>Weld Embrittlement Mapping</t>
  </si>
  <si>
    <t>Number of plate major regions</t>
  </si>
  <si>
    <t>WELD</t>
  </si>
  <si>
    <t>WELD_NWSUB</t>
  </si>
  <si>
    <t>WELD_NWMAJ</t>
  </si>
  <si>
    <t>PLAT</t>
  </si>
  <si>
    <t>PLAT_NPSUB</t>
  </si>
  <si>
    <t>PLAT_NPMAJ</t>
  </si>
  <si>
    <t>Embrittlement Map</t>
  </si>
  <si>
    <t>Type of Region</t>
  </si>
  <si>
    <t>Subregion #</t>
  </si>
  <si>
    <t>Left-adjacent plate subregion - 1st child</t>
  </si>
  <si>
    <t>Right-adjacent plate subregion - 2nd child</t>
  </si>
  <si>
    <t>Major Region #</t>
  </si>
  <si>
    <t>Best-estimate fluence at RPV ID</t>
  </si>
  <si>
    <t>Product form flag for DT30 shift correlation</t>
  </si>
  <si>
    <t>Cu saturation flag</t>
  </si>
  <si>
    <t>Unirradiated best-estimate for RTNDT0</t>
  </si>
  <si>
    <t>Unirradiated standard deviation for RTNDT0</t>
  </si>
  <si>
    <t>Irradiation shift correlation flag</t>
  </si>
  <si>
    <t>Subregion angle</t>
  </si>
  <si>
    <t>Subregion height</t>
  </si>
  <si>
    <t>Weld fusion area</t>
  </si>
  <si>
    <t>Weld orientation</t>
  </si>
  <si>
    <t>Chemistry factor override</t>
  </si>
  <si>
    <t>Unirradiated upper shelf CVN energy from RVID2</t>
  </si>
  <si>
    <t>Heat average for Ni content</t>
  </si>
  <si>
    <t>Heat average for Cu content</t>
  </si>
  <si>
    <t>Heat average for P content</t>
  </si>
  <si>
    <t>Heat average for Mn content</t>
  </si>
  <si>
    <t>Rercord index #</t>
  </si>
  <si>
    <t>-</t>
  </si>
  <si>
    <t>FAVPost Case Description</t>
  </si>
  <si>
    <t>FAVPost Input file name</t>
  </si>
  <si>
    <t>FAVPost Output file name</t>
  </si>
  <si>
    <t>Number of transients with frequency PDFs</t>
  </si>
  <si>
    <t>CNTL</t>
  </si>
  <si>
    <t>CNTL_NTRAN</t>
  </si>
  <si>
    <t>ITRN_NHIST</t>
  </si>
  <si>
    <t>IMPORTANT: Fill in the sheets in the order they are presented</t>
  </si>
  <si>
    <t>VFLAW Input?</t>
  </si>
  <si>
    <t>VFLAW_SURF</t>
  </si>
  <si>
    <t>VFLAW_SURF_IRAD</t>
  </si>
  <si>
    <t>VFLAW_SURF_W</t>
  </si>
  <si>
    <t>VFLAW_SURF_CLTH</t>
  </si>
  <si>
    <t>VFLAW_SURF_NFLAW</t>
  </si>
  <si>
    <t>VFLAW_SURF_DEPTH1</t>
  </si>
  <si>
    <t>%</t>
  </si>
  <si>
    <t>VFLAW_SURF_AR2</t>
  </si>
  <si>
    <t>VFLAW_SURF_AR6</t>
  </si>
  <si>
    <t>VFLAW_SURF_AR10</t>
  </si>
  <si>
    <t>VFLAW_SURF_ARinf</t>
  </si>
  <si>
    <t>VFLAW_SURF_ARdefault</t>
  </si>
  <si>
    <t>Should match FAVPFM input</t>
  </si>
  <si>
    <t>Vessel (or beltline) Height</t>
  </si>
  <si>
    <t>VFLAW_SURF_H</t>
  </si>
  <si>
    <t>Several</t>
  </si>
  <si>
    <t>VFLAW Surface Case Description</t>
  </si>
  <si>
    <t>VFLAW Surface Input file name</t>
  </si>
  <si>
    <t>Fill this worksheet, then click the text box (NOTE: the macro takes a few seconds to run, please be patient)</t>
  </si>
  <si>
    <t>VFLAW Weld Case Description</t>
  </si>
  <si>
    <t>VFLAW Weld Input file name</t>
  </si>
  <si>
    <t>VFLAW_WELD_IRAD</t>
  </si>
  <si>
    <t>VFLAW_WELD_W</t>
  </si>
  <si>
    <t>VFLAW_WELD_CLTH</t>
  </si>
  <si>
    <t>VFLAW_WELD_H</t>
  </si>
  <si>
    <t>VFLAW_WELD_NFLAW</t>
  </si>
  <si>
    <t>VFLAW_WELD_DEPTH1</t>
  </si>
  <si>
    <t>VFLAW_WELD_ARdefault</t>
  </si>
  <si>
    <t>VFLAW_WELD</t>
  </si>
  <si>
    <t>VFLAWweld</t>
  </si>
  <si>
    <t>VFLAW_WELD_AR100125</t>
  </si>
  <si>
    <t>VFLAW_WELD_AR125150</t>
  </si>
  <si>
    <t>VFLAW_WELD_AR200300</t>
  </si>
  <si>
    <t>VFLAW_WELD_AR300400</t>
  </si>
  <si>
    <t>VFLAW_WELD_AR400500</t>
  </si>
  <si>
    <t>VFLAW_WELD_AR500600</t>
  </si>
  <si>
    <t>VFLAW_WELD_AR600800</t>
  </si>
  <si>
    <t>VFLAW_WELD_AR8001000</t>
  </si>
  <si>
    <t>VFLAW_WELD_AR10001500</t>
  </si>
  <si>
    <t>VFLAW_WELD_AR150200</t>
  </si>
  <si>
    <t>VFLAW_WELD_AR1500inf</t>
  </si>
  <si>
    <t>VFLAW_PLATE_IRAD</t>
  </si>
  <si>
    <t>VFLAW_PLATE_W</t>
  </si>
  <si>
    <t>VFLAW_PLATE_CLTH</t>
  </si>
  <si>
    <t>VFLAW_PLATE_H</t>
  </si>
  <si>
    <t>VFLAW_PLATE_NFLAW</t>
  </si>
  <si>
    <t>VFLAW_PLATE_DEPTH1</t>
  </si>
  <si>
    <t>VFLAW_PLATE_ARdefault</t>
  </si>
  <si>
    <t>VFLAW_PLATE_AR100125</t>
  </si>
  <si>
    <t>VFLAW_PLATE_AR125150</t>
  </si>
  <si>
    <t>VFLAW_PLATE_AR150200</t>
  </si>
  <si>
    <t>VFLAW_PLATE_AR200300</t>
  </si>
  <si>
    <t>VFLAW_PLATE_AR300400</t>
  </si>
  <si>
    <t>VFLAW_PLATE_AR400500</t>
  </si>
  <si>
    <t>VFLAW_PLATE_AR500600</t>
  </si>
  <si>
    <t>VFLAW_PLATE_AR600800</t>
  </si>
  <si>
    <t>VFLAW_PLATE_AR8001000</t>
  </si>
  <si>
    <t>VFLAW_PLATE_AR10001500</t>
  </si>
  <si>
    <t>VFLAW_PLATE_AR1500inf</t>
  </si>
  <si>
    <t>VFLAW Plate Case Description</t>
  </si>
  <si>
    <t>VFLAW Plate Input file name</t>
  </si>
  <si>
    <t>VFLAW_PLATE</t>
  </si>
  <si>
    <t>VFLAWplate</t>
  </si>
  <si>
    <t>Plate Embrittlement Mapping</t>
  </si>
  <si>
    <t>Do you wish to create new…</t>
  </si>
  <si>
    <t>File last imported:</t>
  </si>
  <si>
    <t>No</t>
  </si>
  <si>
    <t>As-Found Flaw Input?</t>
  </si>
  <si>
    <t>Index #</t>
  </si>
  <si>
    <t>Type</t>
  </si>
  <si>
    <t>Flaw Characteristics</t>
  </si>
  <si>
    <t>Integer</t>
  </si>
  <si>
    <t>Subregion
Number</t>
  </si>
  <si>
    <t>Orientation</t>
  </si>
  <si>
    <t>Total number of flaws</t>
  </si>
  <si>
    <t>Surface (=1) or
Embedded (=2)</t>
  </si>
  <si>
    <t>Axial (=1) or
Circumferential (=2)</t>
  </si>
  <si>
    <t>Click if you wish to import existing input from FAVLOAD, FAVPFM, FAVPOST, or As-Found Flaw input</t>
  </si>
  <si>
    <t>Click here to delete all data, then input new number of flaws and click on "Resize AFF Input Table" to enter new data.</t>
  </si>
  <si>
    <t>Click here to resize input table. Existing data will be kept if increasing number of as-found flaws, but removed if decreasing number of flaws (starting from end of the list).</t>
  </si>
  <si>
    <t>AFF Case Description</t>
  </si>
  <si>
    <t>AFF Input file name</t>
  </si>
  <si>
    <t>Do not change these cells: values calculated based on other inputs</t>
  </si>
  <si>
    <t>Number of AFF Input Lines</t>
  </si>
  <si>
    <t>Enter number of flaws to be input, then click on "Resize AFF Input Table".</t>
  </si>
  <si>
    <t>Integer (no Duplicates)
Sequential Order Optional</t>
  </si>
  <si>
    <t>Not an input - counts actual AFF input lines</t>
  </si>
  <si>
    <t>Once all data has been typed in, click this button to export to AFF ".dat" file</t>
  </si>
  <si>
    <t>Depth
'a' for Surface
'2a' for Embedded</t>
  </si>
  <si>
    <t>Distance to
Vessel ID</t>
  </si>
  <si>
    <t>Real
max = 99.0
(Infinite Flaw)</t>
  </si>
  <si>
    <t>Aspect Ratio
'a/c' for Surface
'2a/L' for Embedded</t>
  </si>
  <si>
    <t>AFF5254</t>
  </si>
  <si>
    <t>VFLAWsurf</t>
  </si>
  <si>
    <t xml:space="preserve">"wall thickness" : </t>
  </si>
  <si>
    <t xml:space="preserve">"internal radius" : </t>
  </si>
  <si>
    <t>{</t>
  </si>
  <si>
    <t xml:space="preserve">  "vessel geometry" : {</t>
  </si>
  <si>
    <t xml:space="preserve">  "material properties" : {</t>
  </si>
  <si>
    <t xml:space="preserve">    },</t>
  </si>
  <si>
    <t xml:space="preserve">"temperature dependent" : </t>
  </si>
  <si>
    <t xml:space="preserve">      "poisson's ratio" : "0.3 "</t>
  </si>
  <si>
    <t xml:space="preserve">  },</t>
  </si>
  <si>
    <t>BTU/(lbm F)</t>
  </si>
  <si>
    <t>lbm/ft^3</t>
  </si>
  <si>
    <t>1/F</t>
  </si>
  <si>
    <t>F</t>
  </si>
  <si>
    <t>BTU/(hr ft^2 F)</t>
  </si>
  <si>
    <t xml:space="preserve">      "specific heat" : "0.12 BTU/(lbm F)",</t>
  </si>
  <si>
    <t xml:space="preserve">      "reference temperature" : "70.0 F",</t>
  </si>
  <si>
    <t xml:space="preserve">      "density" : "489.0 lbm/ft^3",</t>
  </si>
  <si>
    <t xml:space="preserve">      "young's elastic modulus" : "22800.0 ksi",</t>
  </si>
  <si>
    <t xml:space="preserve">      "thermal expansion coefficient" : "0.00000945 1/F",</t>
  </si>
  <si>
    <t xml:space="preserve">"stress-free temperature" : </t>
  </si>
  <si>
    <t xml:space="preserve">"axial residual stresses in weld" : </t>
  </si>
  <si>
    <t xml:space="preserve">"circumferential residual stresses in weld" : </t>
  </si>
  <si>
    <t xml:space="preserve">"crack-face pressure loading" : </t>
  </si>
  <si>
    <t xml:space="preserve">"total time" : </t>
  </si>
  <si>
    <t xml:space="preserve">"dt" : </t>
  </si>
  <si>
    <t>m</t>
  </si>
  <si>
    <t xml:space="preserve">"reference temperature" : </t>
  </si>
  <si>
    <t xml:space="preserve">    "base" : {</t>
  </si>
  <si>
    <t xml:space="preserve">    "clad" : {</t>
  </si>
  <si>
    <t xml:space="preserve">"density" : </t>
  </si>
  <si>
    <t xml:space="preserve">        ],</t>
  </si>
  <si>
    <t xml:space="preserve">      },</t>
  </si>
  <si>
    <t xml:space="preserve">  "analysis options" : {</t>
  </si>
  <si>
    <t xml:space="preserve">    }</t>
  </si>
  <si>
    <t xml:space="preserve">  "transients" : {</t>
  </si>
  <si>
    <t xml:space="preserve">    "transient list" : [</t>
  </si>
  <si>
    <t xml:space="preserve">      {</t>
  </si>
  <si>
    <t xml:space="preserve">        "convective heat transfer coefficient history table" : {</t>
  </si>
  <si>
    <t xml:space="preserve">          "t" : [</t>
  </si>
  <si>
    <t xml:space="preserve">          ],</t>
  </si>
  <si>
    <t xml:space="preserve">          "h(t)" : [</t>
  </si>
  <si>
    <t xml:space="preserve">          "h(t) units" : "BTU/(hr ft^2 F)"</t>
  </si>
  <si>
    <t xml:space="preserve">        },</t>
  </si>
  <si>
    <t xml:space="preserve">      }</t>
  </si>
  <si>
    <t xml:space="preserve">          "T(t)" : [</t>
  </si>
  <si>
    <t xml:space="preserve">          "T(t) units" : "F"</t>
  </si>
  <si>
    <t xml:space="preserve">        "pressure history table" : {</t>
  </si>
  <si>
    <t xml:space="preserve">          "P(t)" : [</t>
  </si>
  <si>
    <t xml:space="preserve">          "P(t) units" : "ksi"</t>
  </si>
  <si>
    <t xml:space="preserve">        }</t>
  </si>
  <si>
    <t xml:space="preserve">  }</t>
  </si>
  <si>
    <t>deg</t>
  </si>
  <si>
    <t>in^2</t>
  </si>
  <si>
    <t>particles/cm^2</t>
  </si>
  <si>
    <t>}</t>
  </si>
  <si>
    <t xml:space="preserve">    {</t>
  </si>
  <si>
    <t xml:space="preserve">  ]</t>
  </si>
  <si>
    <t>1/y</t>
  </si>
  <si>
    <t xml:space="preserve">      "PDF" : {</t>
  </si>
  <si>
    <t xml:space="preserve">        "f" : [</t>
  </si>
  <si>
    <t xml:space="preserve">        "d(f)" : [</t>
  </si>
  <si>
    <t xml:space="preserve">        "f units" : "1/y",</t>
  </si>
  <si>
    <t xml:space="preserve">        "d(f) units" : "%"</t>
  </si>
  <si>
    <t xml:space="preserve">          0.0, 0.0, 0.0, 0.0, 0.0, </t>
  </si>
  <si>
    <t xml:space="preserve">        "pfm transient number" : 1,</t>
  </si>
  <si>
    <t xml:space="preserve">          "t units" : "m",</t>
  </si>
  <si>
    <t>ksi in^1/2</t>
  </si>
  <si>
    <t>Time history</t>
  </si>
  <si>
    <t>Axial</t>
  </si>
  <si>
    <t>PLATE</t>
  </si>
  <si>
    <t xml:space="preserve">          0.5, 0.5, 1.5, 2.5, 5.0, </t>
  </si>
  <si>
    <t xml:space="preserve">          10.0, 5.0, 5.0, 10.0, 10.0, </t>
  </si>
  <si>
    <t xml:space="preserve">          10.0, 10.0, 5.0, 5.0, 10.0, </t>
  </si>
  <si>
    <t xml:space="preserve">          5.0, 2.5, 1.5, 0.5, 0.5</t>
  </si>
  <si>
    <t xml:space="preserve">          0.000000179, 0.000000207, 0.000000512, 0.00000111, 0.0000024, </t>
  </si>
  <si>
    <t xml:space="preserve">          0.00000464, 0.00000663, 0.00000938, 0.0000157, 0.0000249, </t>
  </si>
  <si>
    <t xml:space="preserve">          0.0000407, 0.0000657, 0.0000914, 0.00012, 0.000269, </t>
  </si>
  <si>
    <t xml:space="preserve">          0.000542, 0.000914, 0.00166, 0.00268, 0.00543</t>
  </si>
  <si>
    <t xml:space="preserve">          0.00000544, 0.00000642, 0.0000159, 0.0000307, 0.0000551, </t>
  </si>
  <si>
    <t xml:space="preserve">          0.000111, 0.000158, 0.000196, 0.000293, 0.000497, </t>
  </si>
  <si>
    <t xml:space="preserve">          0.000786, 0.00133, 0.00179, 0.00237, 0.00548, </t>
  </si>
  <si>
    <t xml:space="preserve">          0.00959, 0.0168, 0.0257, 0.0466, 0.116</t>
  </si>
  <si>
    <t xml:space="preserve">          0.00000001, 0.000000012, 0.000000019, 0.0000000298, 0.0000000458, </t>
  </si>
  <si>
    <t xml:space="preserve">          0.000000191, 0.000000279, 0.000000328, 0.000000428, 0.000000591, </t>
  </si>
  <si>
    <t xml:space="preserve">          0.00000103, 0.00000146, 0.00000186, 0.00000265, 0.0000056, </t>
  </si>
  <si>
    <t xml:space="preserve">          0.0000143, 0.0000192, 0.0000254, 0.0000277, 0.000042</t>
  </si>
  <si>
    <t xml:space="preserve">          0.0, 0.0, 0.0, 0.0, 0.0</t>
  </si>
  <si>
    <t xml:space="preserve">          0.00000507, 0.00000596, 0.0000068, 0.00000775, 0.00000861, </t>
  </si>
  <si>
    <t xml:space="preserve">          0.0000102, 0.0000107, 0.0000113, 0.0000124, 0.0000136, </t>
  </si>
  <si>
    <t xml:space="preserve">          0.000015, 0.0000164, 0.0000177, 0.0000187, 0.0000222, </t>
  </si>
  <si>
    <t xml:space="preserve">          0.0000245, 0.0000291, 0.0000344, 0.0000394, 0.0000727</t>
  </si>
  <si>
    <t xml:space="preserve">          0.00000127, 0.00000166, 0.00000214, 0.00000305, 0.00000445, </t>
  </si>
  <si>
    <t xml:space="preserve">          0.00000651, 0.00000803, 0.00000934, 0.0000124, 0.0000159, </t>
  </si>
  <si>
    <t xml:space="preserve">          0.0000209, 0.0000281, 0.0000331, 0.0000411, 0.0000689, </t>
  </si>
  <si>
    <t xml:space="preserve">          0.000109, 0.000174, 0.000282, 0.00039, 0.0009</t>
  </si>
  <si>
    <t xml:space="preserve">          0.000000805, 0.000000898, 0.000000954, 0.00000102, 0.0000012, </t>
  </si>
  <si>
    <t xml:space="preserve">          0.000000179, 0.000000218, 0.000000275, 0.000000325, 0.000000396, </t>
  </si>
  <si>
    <t xml:space="preserve">          0.000000493, 0.000000534, 0.000000573, 0.000000647, 0.000000723, </t>
  </si>
  <si>
    <t xml:space="preserve">          0.00000136, 0.00000152, 0.00000171, 0.00000189, 0.00000219</t>
  </si>
  <si>
    <t>POST_test_ver_2</t>
  </si>
  <si>
    <t xml:space="preserve">        "coolant temperature history table" : {</t>
  </si>
  <si>
    <t xml:space="preserve">  "frequency PDFs" : [</t>
  </si>
  <si>
    <t xml:space="preserve">      "pfm transient number" : 1,</t>
  </si>
  <si>
    <t xml:space="preserve">      "pfm transient number" : 2,</t>
  </si>
  <si>
    <t xml:space="preserve">      "pfm transient number" : 3,</t>
  </si>
  <si>
    <t xml:space="preserve">      "pfm transient number" : 4,</t>
  </si>
  <si>
    <t xml:space="preserve">      "pfm transient number" : 5,</t>
  </si>
  <si>
    <t xml:space="preserve">      "pfm transient number" : 6,</t>
  </si>
  <si>
    <t xml:space="preserve">      "thermal-hydraulic sequence number" : 16,</t>
  </si>
  <si>
    <t xml:space="preserve">      "thermal-hydraulic sequence number" : 19,</t>
  </si>
  <si>
    <t xml:space="preserve">      "thermal-hydraulic sequence number" : 24,</t>
  </si>
  <si>
    <t xml:space="preserve">      "thermal-hydraulic sequence number" : 34,</t>
  </si>
  <si>
    <t xml:space="preserve">      "thermal-hydraulic sequence number" : 40,</t>
  </si>
  <si>
    <t xml:space="preserve">      "thermal-hydraulic sequence number" : 48,</t>
  </si>
  <si>
    <t xml:space="preserve">    "probabilistic simulation properties" : {</t>
  </si>
  <si>
    <t xml:space="preserve">      "rpv simulations" : 100,</t>
  </si>
  <si>
    <t xml:space="preserve">      "initiation growth arrest trials" : 100,</t>
  </si>
  <si>
    <t xml:space="preserve">      "normal coolant temperature" : "525.0 F",</t>
  </si>
  <si>
    <t xml:space="preserve">      "plant operating time" : 60.0,</t>
  </si>
  <si>
    <t xml:space="preserve">      "detailed reports" : true,</t>
  </si>
  <si>
    <t xml:space="preserve">      "flow stress" : "80.0 ksi",</t>
  </si>
  <si>
    <t xml:space="preserve">      "max K" : 200.0,</t>
  </si>
  <si>
    <t xml:space="preserve">      "vessel failure normalized crack depth" : 0.9,</t>
  </si>
  <si>
    <t xml:space="preserve">      "stdev mean local fluence" : 0.118,</t>
  </si>
  <si>
    <t xml:space="preserve">      "stdev local fluence" : 0.056,</t>
  </si>
  <si>
    <t xml:space="preserve">      "stdev Cu weld" : 0.167,</t>
  </si>
  <si>
    <t xml:space="preserve">      "stdev Ni weld" : 0.162,</t>
  </si>
  <si>
    <t xml:space="preserve">      "stdev P weld" : 0.0013,</t>
  </si>
  <si>
    <t xml:space="preserve">      "stdev Cu plate" : 0.0073,</t>
  </si>
  <si>
    <t xml:space="preserve">      "stdev Ni plate" : 0.0244,</t>
  </si>
  <si>
    <t xml:space="preserve">      "stdev P plate" : 0.0013</t>
  </si>
  <si>
    <t xml:space="preserve">    "subregions" : [</t>
  </si>
  <si>
    <t xml:space="preserve">        "id" : 1,</t>
  </si>
  <si>
    <t xml:space="preserve">        "left child" : 8,</t>
  </si>
  <si>
    <t xml:space="preserve">        "right child" : 9,</t>
  </si>
  <si>
    <t xml:space="preserve">        "major region" : 1,</t>
  </si>
  <si>
    <t xml:space="preserve">        "Mn" : 1.0,</t>
  </si>
  <si>
    <t xml:space="preserve">        "irad shift" : 11,</t>
  </si>
  <si>
    <t xml:space="preserve">        "orientation" : 1,</t>
  </si>
  <si>
    <t xml:space="preserve">        "CF override" : 0.0,</t>
  </si>
  <si>
    <t xml:space="preserve">        "id" : 2,</t>
  </si>
  <si>
    <t xml:space="preserve">        "left child" : 9,</t>
  </si>
  <si>
    <t xml:space="preserve">        "right child" : 10,</t>
  </si>
  <si>
    <t xml:space="preserve">        "major region" : 2,</t>
  </si>
  <si>
    <t xml:space="preserve">        "id" : 3,</t>
  </si>
  <si>
    <t xml:space="preserve">        "left child" : 10,</t>
  </si>
  <si>
    <t xml:space="preserve">        "right child" : 8,</t>
  </si>
  <si>
    <t xml:space="preserve">        "major region" : 3,</t>
  </si>
  <si>
    <t xml:space="preserve">        "id" : 4,</t>
  </si>
  <si>
    <t xml:space="preserve">        "left child" : 11,</t>
  </si>
  <si>
    <t xml:space="preserve">        "right child" : 12,</t>
  </si>
  <si>
    <t xml:space="preserve">        "major region" : 4,</t>
  </si>
  <si>
    <t xml:space="preserve">        "id" : 5,</t>
  </si>
  <si>
    <t xml:space="preserve">        "left child" : 12,</t>
  </si>
  <si>
    <t xml:space="preserve">        "right child" : 13,</t>
  </si>
  <si>
    <t xml:space="preserve">        "major region" : 5,</t>
  </si>
  <si>
    <t xml:space="preserve">        "id" : 6,</t>
  </si>
  <si>
    <t xml:space="preserve">        "left child" : 13,</t>
  </si>
  <si>
    <t xml:space="preserve">        "right child" : 11,</t>
  </si>
  <si>
    <t xml:space="preserve">        "major region" : 6,</t>
  </si>
  <si>
    <t xml:space="preserve">        "id" : 7,</t>
  </si>
  <si>
    <t xml:space="preserve">        "major region" : 7,</t>
  </si>
  <si>
    <t xml:space="preserve">        "P" : 0.013,</t>
  </si>
  <si>
    <t xml:space="preserve">        "DT30 shift" : 2,</t>
  </si>
  <si>
    <t xml:space="preserve">        "angle" : "360.0 deg",</t>
  </si>
  <si>
    <t xml:space="preserve">        "orientation" : 2,</t>
  </si>
  <si>
    <t xml:space="preserve">        "id" : 8,</t>
  </si>
  <si>
    <t xml:space="preserve">        "major region" : 8,</t>
  </si>
  <si>
    <t xml:space="preserve">        "Cu sat" : 0,</t>
  </si>
  <si>
    <t xml:space="preserve">        "irad shift" : 21,</t>
  </si>
  <si>
    <t xml:space="preserve">        "fusion area" : "0.0 in^2",</t>
  </si>
  <si>
    <t xml:space="preserve">        "orientation" : 0,</t>
  </si>
  <si>
    <t xml:space="preserve">        "id" : 9,</t>
  </si>
  <si>
    <t xml:space="preserve">        "major region" : 9,</t>
  </si>
  <si>
    <t xml:space="preserve">        "P" : 0.015,</t>
  </si>
  <si>
    <t xml:space="preserve">        "id" : 10,</t>
  </si>
  <si>
    <t xml:space="preserve">        "major region" : 10,</t>
  </si>
  <si>
    <t xml:space="preserve">        "P" : 0.01,</t>
  </si>
  <si>
    <t xml:space="preserve">        "id" : 11,</t>
  </si>
  <si>
    <t xml:space="preserve">        "major region" : 11,</t>
  </si>
  <si>
    <t xml:space="preserve">        "P" : 0.009,</t>
  </si>
  <si>
    <t xml:space="preserve">        "id" : 12,</t>
  </si>
  <si>
    <t xml:space="preserve">        "major region" : 12,</t>
  </si>
  <si>
    <t xml:space="preserve">        "id" : 13,</t>
  </si>
  <si>
    <t xml:space="preserve">        "major region" : 13,</t>
  </si>
  <si>
    <t xml:space="preserve">        "P" : 0.011,</t>
  </si>
  <si>
    <t xml:space="preserve">    ]</t>
  </si>
  <si>
    <t xml:space="preserve">      "category-3 flaw analysis" : false,</t>
  </si>
  <si>
    <t xml:space="preserve">      "restart" : 0,</t>
  </si>
  <si>
    <t>High-constraint KIa model based on CCA specimens</t>
  </si>
  <si>
    <t xml:space="preserve">      "arrest model" : 1,</t>
  </si>
  <si>
    <t xml:space="preserve">    "dt" : "1.0 m",</t>
  </si>
  <si>
    <t xml:space="preserve">        "pfm transient number" : 2,</t>
  </si>
  <si>
    <t xml:space="preserve">  "probabilistic simulation with time interval" : {</t>
  </si>
  <si>
    <t xml:space="preserve">    "analysis time interval specification" : [</t>
  </si>
  <si>
    <t xml:space="preserve">        "thermal-hydraulic sequence number" : 2,</t>
  </si>
  <si>
    <t xml:space="preserve">        "thermal-hydraulic sequence number" : 3,</t>
  </si>
  <si>
    <t xml:space="preserve">        "pfm transient number" : 3,</t>
  </si>
  <si>
    <t xml:space="preserve">        "thermal-hydraulic sequence number" : 33,</t>
  </si>
  <si>
    <t xml:space="preserve">    ],</t>
  </si>
  <si>
    <t xml:space="preserve">        "start time" : "0.0 m",</t>
  </si>
  <si>
    <t xml:space="preserve">        "start time" : "5.0 m",</t>
  </si>
  <si>
    <t xml:space="preserve">        "start time" : "3.0 m",</t>
  </si>
  <si>
    <t xml:space="preserve">        "end time" : "300.0 m"</t>
  </si>
  <si>
    <t xml:space="preserve">        "end time" : "200.0 m"</t>
  </si>
  <si>
    <t xml:space="preserve">        "end time" : "33.0 m"</t>
  </si>
  <si>
    <t>PFM_test_ver_14</t>
  </si>
  <si>
    <t>ID Surface + Embedded in Inner 3/8th</t>
  </si>
  <si>
    <t>None</t>
  </si>
  <si>
    <t>Regulatory Guide 1.99 Rev. 2</t>
  </si>
  <si>
    <t>ID</t>
  </si>
  <si>
    <t xml:space="preserve">      "flaw population" : 1,</t>
  </si>
  <si>
    <t xml:space="preserve">      "warm prestress" : 0,</t>
  </si>
  <si>
    <t xml:space="preserve">      "child subregion reports" : true,</t>
  </si>
  <si>
    <t xml:space="preserve">      "embrittlement model" : 992,</t>
  </si>
  <si>
    <t xml:space="preserve">      "ductile tearing model" : true,</t>
  </si>
  <si>
    <t xml:space="preserve">      "ductile tearing checks" : true,</t>
  </si>
  <si>
    <t xml:space="preserve">      "resampling" : false,</t>
  </si>
  <si>
    <t xml:space="preserve">    "flaw tracking" : {</t>
  </si>
  <si>
    <t xml:space="preserve">      "transient number" : 1,</t>
  </si>
  <si>
    <t xml:space="preserve">      "simulation number" : 1,</t>
  </si>
  <si>
    <t xml:space="preserve">      "flaw number" : 1</t>
  </si>
  <si>
    <t xml:space="preserve">        "fluence" : 0.4666,</t>
  </si>
  <si>
    <t xml:space="preserve">        "Cu" : 0.27,</t>
  </si>
  <si>
    <t xml:space="preserve">        "Ni" : 0.735,</t>
  </si>
  <si>
    <t xml:space="preserve">        "rtndt0" : "-50.0 F",</t>
  </si>
  <si>
    <t xml:space="preserve">        "sig rtndt0" : "10.0 F",</t>
  </si>
  <si>
    <t xml:space="preserve">        "angle" : "0.714 deg",</t>
  </si>
  <si>
    <t xml:space="preserve">        "height" : "116.7 in",</t>
  </si>
  <si>
    <t xml:space="preserve">        "fusion area" : "656.0 in^2",</t>
  </si>
  <si>
    <t xml:space="preserve">        "upper shelf energy" : "88.4 ft lb"</t>
  </si>
  <si>
    <t xml:space="preserve">        "fluence" : 0.32,</t>
  </si>
  <si>
    <t xml:space="preserve">        "Cu" : 0.221,</t>
  </si>
  <si>
    <t xml:space="preserve">        "Ni" : 0.732,</t>
  </si>
  <si>
    <t xml:space="preserve">        "P" : 0.023,</t>
  </si>
  <si>
    <t xml:space="preserve">        "height" : "53.75 in",</t>
  </si>
  <si>
    <t xml:space="preserve">        "fusion area" : "302.0 in^2",</t>
  </si>
  <si>
    <t xml:space="preserve">        "Cu" : 0.258,</t>
  </si>
  <si>
    <t xml:space="preserve">        "Ni" : 0.165,</t>
  </si>
  <si>
    <t xml:space="preserve">        "P" : 0.017,</t>
  </si>
  <si>
    <t xml:space="preserve">        "height" : "1.25 in",</t>
  </si>
  <si>
    <t xml:space="preserve">        "fusion area" : "4005.0 in^2",</t>
  </si>
  <si>
    <t xml:space="preserve">        "Cu" : 0.17,</t>
  </si>
  <si>
    <t xml:space="preserve">        "Ni" : 0.62,</t>
  </si>
  <si>
    <t xml:space="preserve">        "DT30 shift" : 0,</t>
  </si>
  <si>
    <t xml:space="preserve">        "rtndt0" : "-20.0 F",</t>
  </si>
  <si>
    <t xml:space="preserve">        "angle" : "119.2 deg",</t>
  </si>
  <si>
    <t xml:space="preserve">        "Cu" : 0.13,</t>
  </si>
  <si>
    <t xml:space="preserve">        "Ni" : 0.58,</t>
  </si>
  <si>
    <t xml:space="preserve">        "Ni" : 0.7,</t>
  </si>
  <si>
    <t xml:space="preserve">        "Ni" : 0.64,</t>
  </si>
  <si>
    <t xml:space="preserve">        "rtndt0" : "8.0 F",</t>
  </si>
  <si>
    <t xml:space="preserve">        "rtndt0" : "10.0 F",</t>
  </si>
  <si>
    <t xml:space="preserve">        "Cu" : 0.14,</t>
  </si>
  <si>
    <t xml:space="preserve">        "Ni" : 0.57,</t>
  </si>
  <si>
    <t xml:space="preserve">        "rtndt0" : "-10.0 F",</t>
  </si>
  <si>
    <t>"clad thickness" :</t>
  </si>
  <si>
    <t>BTU/(h ft F)</t>
  </si>
  <si>
    <t xml:space="preserve">    "clad thickness" :"0.25 in"</t>
  </si>
  <si>
    <t xml:space="preserve">            0.0, 0.25, 0.5, 0.75, 1.0, </t>
  </si>
  <si>
    <t xml:space="preserve">            1.25, 1.5, 1.75, 2.0, 2.25, </t>
  </si>
  <si>
    <t xml:space="preserve">            2.5, 2.75, 3.0, 3.25, 3.5, </t>
  </si>
  <si>
    <t xml:space="preserve">            3.75, 4.0, 4.25, 4.5, 4.75, </t>
  </si>
  <si>
    <t xml:space="preserve">            5.0, 5.25, 5.5, 5.75, 6.0, </t>
  </si>
  <si>
    <t xml:space="preserve">            6.25, 6.5, 6.75, 7.0, 7.25, </t>
  </si>
  <si>
    <t xml:space="preserve">            7.5, 7.75, 8.0, 8.25, 8.5, </t>
  </si>
  <si>
    <t xml:space="preserve">            8.75, 9.0, 9.25, 9.5, 9.75, </t>
  </si>
  <si>
    <t xml:space="preserve">            10.0, 10.25, 10.5, 10.75, 11.0, </t>
  </si>
  <si>
    <t xml:space="preserve">            11.25, 11.5, 11.75, 12.0, 12.25, </t>
  </si>
  <si>
    <t xml:space="preserve">            12.5, 12.75, 13.0, 13.25, 13.5, </t>
  </si>
  <si>
    <t xml:space="preserve">            13.75, 14.0, 14.25, 14.5, 14.75, </t>
  </si>
  <si>
    <t xml:space="preserve">            15.0, 15.25, 15.5, 15.75, 16.0, </t>
  </si>
  <si>
    <t xml:space="preserve">            16.25, 16.5, 16.75, 17.0, 17.25, </t>
  </si>
  <si>
    <t xml:space="preserve">            17.5, 17.75, 18.0, 18.25, 18.5, </t>
  </si>
  <si>
    <t xml:space="preserve">            18.75, 19.0, 19.25, 19.5, 19.75, </t>
  </si>
  <si>
    <t xml:space="preserve">            20.0, 20.25, 20.5, 20.75, 21.0, </t>
  </si>
  <si>
    <t xml:space="preserve">            21.25, 21.5, 21.75, 22.0, 22.25, </t>
  </si>
  <si>
    <t xml:space="preserve">            22.5, 22.75, 23.0, 23.25, 23.5, </t>
  </si>
  <si>
    <t xml:space="preserve">            23.75, 24.0, 24.25, 24.5, 24.75, </t>
  </si>
  <si>
    <t xml:space="preserve">            25.0, 25.25, 25.5, 25.75, 26.0, </t>
  </si>
  <si>
    <t xml:space="preserve">            26.25, 26.5, 26.75, 27.0, 27.25, </t>
  </si>
  <si>
    <t xml:space="preserve">            27.5, 27.75, 28.0, 28.25, 28.5, </t>
  </si>
  <si>
    <t xml:space="preserve">            28.75, 29.0, 29.25, 29.5, 29.75, </t>
  </si>
  <si>
    <t xml:space="preserve">            30.0, 30.25, 30.5, 30.75, 31.0, </t>
  </si>
  <si>
    <t xml:space="preserve">            31.25, 31.5, 31.75, 32.0, 32.25, </t>
  </si>
  <si>
    <t xml:space="preserve">            32.5, 32.75, 33.0, 33.25, 33.5, </t>
  </si>
  <si>
    <t xml:space="preserve">            33.75, 34.0, 34.25, 34.5, 34.75, </t>
  </si>
  <si>
    <t xml:space="preserve">            35.0, 35.25, 35.5, 35.75, 36.0, </t>
  </si>
  <si>
    <t xml:space="preserve">            36.25, 36.5, 36.75, 37.0, 37.25, </t>
  </si>
  <si>
    <t xml:space="preserve">            37.5, 37.75, 38.0, 38.25, 38.5, </t>
  </si>
  <si>
    <t xml:space="preserve">            38.75, 39.0, 39.25, 39.5, 39.75, </t>
  </si>
  <si>
    <t xml:space="preserve">            40.0, 40.25, 40.5, 40.75, 41.0, </t>
  </si>
  <si>
    <t xml:space="preserve">            41.25, 41.5, 41.75, 42.0, 42.25, </t>
  </si>
  <si>
    <t xml:space="preserve">            42.5, 42.75, 43.0, 43.25, 43.5, </t>
  </si>
  <si>
    <t xml:space="preserve">            43.75, 44.0, 44.25, 44.5, 44.75, </t>
  </si>
  <si>
    <t xml:space="preserve">            45.0, 45.25, 45.5, 45.75, 46.0, </t>
  </si>
  <si>
    <t xml:space="preserve">            46.25, 46.5, 46.75, 47.0, 47.25, </t>
  </si>
  <si>
    <t xml:space="preserve">            47.5, 47.75, 48.0, 48.25, 48.5, </t>
  </si>
  <si>
    <t xml:space="preserve">            48.75, 49.0, 49.25, 49.5, 49.75, </t>
  </si>
  <si>
    <t xml:space="preserve">            50.0, 50.25, 50.5, 50.75, 51.0, </t>
  </si>
  <si>
    <t xml:space="preserve">            51.25, 51.5, 51.75, 52.0, 52.25, </t>
  </si>
  <si>
    <t xml:space="preserve">            52.5, 52.75, 53.0, 53.25, 53.5, </t>
  </si>
  <si>
    <t xml:space="preserve">            53.75, 54.0, 54.25, 54.5, 54.75, </t>
  </si>
  <si>
    <t xml:space="preserve">            55.0, 55.25, 55.5, 55.75, 56.0, </t>
  </si>
  <si>
    <t xml:space="preserve">            56.25, 56.5, 56.75, 57.0, 57.25, </t>
  </si>
  <si>
    <t xml:space="preserve">            57.5, 57.75, 58.0, 58.25, 58.5, </t>
  </si>
  <si>
    <t xml:space="preserve">            58.75, 59.0, 59.25, 59.5, 59.75, </t>
  </si>
  <si>
    <t xml:space="preserve">            60.0, 60.25, 60.5, 60.75, 61.0, </t>
  </si>
  <si>
    <t xml:space="preserve">            61.25, 61.5, 61.75, 62.0, 62.25, </t>
  </si>
  <si>
    <t xml:space="preserve">            62.5, 62.75, 63.0, 63.25, 63.5, </t>
  </si>
  <si>
    <t xml:space="preserve">            63.75, 64.0, 64.25, 64.5, 64.75, </t>
  </si>
  <si>
    <t xml:space="preserve">            65.0, 65.25, 65.5, 65.75, 66.0, </t>
  </si>
  <si>
    <t xml:space="preserve">            66.25, 66.5, 66.75, 67.0, 67.25, </t>
  </si>
  <si>
    <t xml:space="preserve">            67.5, 67.75, 68.0, 68.25, 68.5, </t>
  </si>
  <si>
    <t xml:space="preserve">            68.75, 69.0, 69.25, 69.5, 69.75, </t>
  </si>
  <si>
    <t xml:space="preserve">            70.0, 70.25, 70.5, 70.75, 71.0, </t>
  </si>
  <si>
    <t xml:space="preserve">            71.25, 71.5, 71.75, 72.0, 72.25, </t>
  </si>
  <si>
    <t xml:space="preserve">            72.5, 72.75, 73.0, 73.25, 73.5, </t>
  </si>
  <si>
    <t xml:space="preserve">            73.75, 74.0, 74.25, 74.5, 74.75, </t>
  </si>
  <si>
    <t xml:space="preserve">            75.0, 75.25, 75.5, 75.75, 76.0, </t>
  </si>
  <si>
    <t xml:space="preserve">            76.25, 76.5, 76.75, 77.0, 77.25, </t>
  </si>
  <si>
    <t xml:space="preserve">            77.5, 77.75, 78.0, 78.25, 78.5, </t>
  </si>
  <si>
    <t xml:space="preserve">            78.75, 79.0, 79.25, 79.5, 79.75, </t>
  </si>
  <si>
    <t xml:space="preserve">            80.0, 80.25, 80.5, 80.75, 81.0, </t>
  </si>
  <si>
    <t xml:space="preserve">            81.25, 81.5, 81.75, 82.0, 82.25, </t>
  </si>
  <si>
    <t xml:space="preserve">            82.5, 82.75, 83.0, 83.25, 83.5, </t>
  </si>
  <si>
    <t xml:space="preserve">            83.75, 84.0, 84.25, 84.5, 84.75, </t>
  </si>
  <si>
    <t xml:space="preserve">            85.0, 85.25, 85.5, 85.75, 86.0, </t>
  </si>
  <si>
    <t xml:space="preserve">            86.25, 86.5, 86.75, 87.0, 87.25, </t>
  </si>
  <si>
    <t xml:space="preserve">            87.5, 87.75, 88.0, 88.25, 88.5, </t>
  </si>
  <si>
    <t xml:space="preserve">            88.75, 89.0, 89.25, 89.5, 89.75, </t>
  </si>
  <si>
    <t xml:space="preserve">            90.0, 90.25, 90.5, 90.75, 91.0, </t>
  </si>
  <si>
    <t xml:space="preserve">            91.25, 91.5, 91.75, 92.0, 92.25, </t>
  </si>
  <si>
    <t xml:space="preserve">            92.5, 92.75, 93.0, 93.25, 93.5, </t>
  </si>
  <si>
    <t xml:space="preserve">            93.75, 94.0, 94.25, 94.5, 94.75, </t>
  </si>
  <si>
    <t xml:space="preserve">            95.0, 95.25, 95.5, 95.75, 96.0, </t>
  </si>
  <si>
    <t xml:space="preserve">            96.25, 96.5, 96.75, 97.0, 97.25, </t>
  </si>
  <si>
    <t xml:space="preserve">            97.5, 97.75, 98.0, 98.25, 98.5, </t>
  </si>
  <si>
    <t xml:space="preserve">            98.75, 99.0, 99.25, 99.5, 99.75, </t>
  </si>
  <si>
    <t xml:space="preserve">            100.0, 100.25, 100.5, 100.75, 101.0, </t>
  </si>
  <si>
    <t xml:space="preserve">            101.25, 101.5, 101.75, 102.0, 102.25, </t>
  </si>
  <si>
    <t xml:space="preserve">            102.5, 102.75, 103.0, 103.25, 103.5, </t>
  </si>
  <si>
    <t xml:space="preserve">            103.75, 104.0, 104.25, 104.5, 104.75, </t>
  </si>
  <si>
    <t xml:space="preserve">            105.0, 105.25, 105.5, 105.75, 106.0, </t>
  </si>
  <si>
    <t xml:space="preserve">            106.25, 106.5, 106.75, 107.0, 107.25, </t>
  </si>
  <si>
    <t xml:space="preserve">            107.5, 107.75, 108.0, 108.25, 108.5, </t>
  </si>
  <si>
    <t xml:space="preserve">            108.75, 109.0, 109.25, 109.5, 109.75, </t>
  </si>
  <si>
    <t xml:space="preserve">            110.0, 110.25, 110.5, 110.75, 111.0, </t>
  </si>
  <si>
    <t xml:space="preserve">            111.25, 111.5, 111.75, 112.0, 112.25, </t>
  </si>
  <si>
    <t xml:space="preserve">            112.5, 112.75, 113.0, 113.25, 113.5, </t>
  </si>
  <si>
    <t xml:space="preserve">            113.75, 114.0, 114.25, 114.5, 114.75, </t>
  </si>
  <si>
    <t xml:space="preserve">            115.0, 115.25, 115.5, 115.75, 116.0, </t>
  </si>
  <si>
    <t xml:space="preserve">            116.25, 116.5, 116.75, 117.0, 117.25, </t>
  </si>
  <si>
    <t xml:space="preserve">            117.5, 117.75, 118.0, 118.25, 118.5, </t>
  </si>
  <si>
    <t xml:space="preserve">            118.75, 119.0, 119.25, 119.5, 119.75, </t>
  </si>
  <si>
    <t xml:space="preserve">            120.0, 120.25, 120.5, 120.75, 121.0, </t>
  </si>
  <si>
    <t xml:space="preserve">            121.25, 121.5, 121.75, 122.0, 122.25, </t>
  </si>
  <si>
    <t xml:space="preserve">            122.5, 122.75, 123.0, 123.25, 123.5, </t>
  </si>
  <si>
    <t xml:space="preserve">            123.75, 124.0, 124.25, 124.5, 124.75, </t>
  </si>
  <si>
    <t xml:space="preserve">            125.0, 125.25, 125.5, 125.75, 126.0, </t>
  </si>
  <si>
    <t xml:space="preserve">            126.25, 126.5, 126.75, 127.0, 127.25, </t>
  </si>
  <si>
    <t xml:space="preserve">            127.5, 127.75, 128.0, 128.25, 128.5, </t>
  </si>
  <si>
    <t xml:space="preserve">            128.75, 129.0, 129.25, 129.5, 129.75, </t>
  </si>
  <si>
    <t xml:space="preserve">            130.0, 130.25, 130.5, 130.75, 131.0, </t>
  </si>
  <si>
    <t xml:space="preserve">            131.25, 131.5, 131.75, 132.0, 132.25, </t>
  </si>
  <si>
    <t xml:space="preserve">            132.5, 132.75, 133.0, 133.25, 133.5, </t>
  </si>
  <si>
    <t xml:space="preserve">            133.75, 134.0, 134.25, 134.5, 134.75, </t>
  </si>
  <si>
    <t xml:space="preserve">            135.0, 135.25, 135.5, 135.75, 136.0, </t>
  </si>
  <si>
    <t xml:space="preserve">            136.25, 136.5, 136.75, 137.0, 137.25, </t>
  </si>
  <si>
    <t xml:space="preserve">            137.5, 137.75, 138.0, 138.25, 138.5, </t>
  </si>
  <si>
    <t xml:space="preserve">            138.75, 139.0, 139.25, 139.5, 139.75, </t>
  </si>
  <si>
    <t xml:space="preserve">            140.0, 140.25, 140.5, 140.75, 141.0, </t>
  </si>
  <si>
    <t xml:space="preserve">            141.25, 141.5, 141.75, 142.0, 142.25, </t>
  </si>
  <si>
    <t xml:space="preserve">            142.5, 142.75, 143.0, 143.25, 143.5, </t>
  </si>
  <si>
    <t xml:space="preserve">            143.75, 144.0, 144.25, 144.5, 144.75, </t>
  </si>
  <si>
    <t xml:space="preserve">            145.0, 145.25, 145.5, 145.75, 146.0, </t>
  </si>
  <si>
    <t xml:space="preserve">            146.25, 146.5, 146.75, 147.0, 147.25, </t>
  </si>
  <si>
    <t xml:space="preserve">            147.5, 147.75, 148.0, 148.25, 148.5, </t>
  </si>
  <si>
    <t xml:space="preserve">            148.75, 149.0, 149.25, 149.5, 149.75, </t>
  </si>
  <si>
    <t xml:space="preserve">            150.0, 150.25, 150.5, 150.75, 151.0, </t>
  </si>
  <si>
    <t xml:space="preserve">            151.25, 151.5, 151.75, 152.0, 152.25, </t>
  </si>
  <si>
    <t xml:space="preserve">            152.5, 152.75, 153.0, 153.25, 153.5, </t>
  </si>
  <si>
    <t xml:space="preserve">            153.75, 154.0, 154.25, 154.5, 154.75, </t>
  </si>
  <si>
    <t xml:space="preserve">            155.0, 155.25, 155.5, 155.75, 156.0, </t>
  </si>
  <si>
    <t xml:space="preserve">            156.25, 156.5, 156.75, 157.0, 157.25, </t>
  </si>
  <si>
    <t xml:space="preserve">            157.5, 157.75, 158.0, 158.25, 158.5, </t>
  </si>
  <si>
    <t xml:space="preserve">            158.75, 159.0, 159.25, 159.5, 159.75, </t>
  </si>
  <si>
    <t xml:space="preserve">            160.0, 160.25, 160.5, 160.75, 161.0, </t>
  </si>
  <si>
    <t xml:space="preserve">            161.25, 161.5, 161.75, 162.0, 162.25, </t>
  </si>
  <si>
    <t xml:space="preserve">            162.5, 162.75, 163.0, 163.25, 163.5, </t>
  </si>
  <si>
    <t xml:space="preserve">            163.75, 164.0, 164.25, 164.5, 164.75, </t>
  </si>
  <si>
    <t xml:space="preserve">            165.0, 165.25, 165.5, 165.75, 166.0, </t>
  </si>
  <si>
    <t xml:space="preserve">            166.25, 166.5, 166.67, 167.0, 167.33, </t>
  </si>
  <si>
    <t xml:space="preserve">            167.5, 167.67, 168.0, 168.33, 168.5, </t>
  </si>
  <si>
    <t xml:space="preserve">            168.67, 169.0, 169.33, 169.5, 169.67, </t>
  </si>
  <si>
    <t xml:space="preserve">            170.0, 170.33, 170.5, 170.67, 171.0, </t>
  </si>
  <si>
    <t xml:space="preserve">            171.33, 171.5, 171.67, 172.0, 172.33, </t>
  </si>
  <si>
    <t xml:space="preserve">            172.5, 172.67, 173.0, 173.33, 173.5, </t>
  </si>
  <si>
    <t xml:space="preserve">            173.67, 174.0, 174.33, 174.5, 174.67, </t>
  </si>
  <si>
    <t xml:space="preserve">            175.0, 175.33, 175.5, 175.67, 176.0, </t>
  </si>
  <si>
    <t xml:space="preserve">            176.33, 176.5, 176.67, 177.0, 177.33, </t>
  </si>
  <si>
    <t xml:space="preserve">            177.5, 177.67, 178.0, 178.33, 178.5, </t>
  </si>
  <si>
    <t xml:space="preserve">            178.67, 179.0, 179.33, 179.5, 179.67, </t>
  </si>
  <si>
    <t xml:space="preserve">            180.0, 180.33, 180.5, 180.67, 181.0, </t>
  </si>
  <si>
    <t xml:space="preserve">            181.33, 181.5, 181.67, 182.0, 182.33, </t>
  </si>
  <si>
    <t xml:space="preserve">            182.5, 182.67, 183.0, 183.33, 183.5, </t>
  </si>
  <si>
    <t xml:space="preserve">            183.67, 184.0, 184.33, 184.5, 184.67, </t>
  </si>
  <si>
    <t xml:space="preserve">            185.0, 185.33, 185.5, 185.67, 186.0, </t>
  </si>
  <si>
    <t xml:space="preserve">            186.33, 186.5, 186.67, 187.0, 187.33, </t>
  </si>
  <si>
    <t xml:space="preserve">            187.5, 187.67, 188.0, 188.33, 188.5, </t>
  </si>
  <si>
    <t xml:space="preserve">            188.67, 189.0, 189.33, 189.5, 189.67, </t>
  </si>
  <si>
    <t xml:space="preserve">            190.0, 190.33, 190.5, 190.67, 191.0, </t>
  </si>
  <si>
    <t xml:space="preserve">            191.33, 191.5, 191.67, 192.0, 192.33, </t>
  </si>
  <si>
    <t xml:space="preserve">            192.5, 192.67, 193.0, 193.33, 193.5, </t>
  </si>
  <si>
    <t xml:space="preserve">            193.67, 194.0, 194.33, 194.5, 194.67, </t>
  </si>
  <si>
    <t xml:space="preserve">            195.0, 195.33, 195.5, 195.67, 196.0, </t>
  </si>
  <si>
    <t xml:space="preserve">            196.33, 196.5, 196.67, 197.0, 197.33, </t>
  </si>
  <si>
    <t xml:space="preserve">            197.5, 197.67, 198.0, 198.33, 198.5, </t>
  </si>
  <si>
    <t xml:space="preserve">            198.67, 199.0, 199.33, 199.5, 199.67, </t>
  </si>
  <si>
    <t xml:space="preserve">            200.0, 200.33, 200.5, 200.67, 201.0, </t>
  </si>
  <si>
    <t xml:space="preserve">            201.33, 201.5, 201.67, 202.0, 202.33, </t>
  </si>
  <si>
    <t xml:space="preserve">            202.5, 202.67, 203.0, 203.33, 203.5, </t>
  </si>
  <si>
    <t xml:space="preserve">            203.67, 204.0, 204.33, 204.5, 204.67, </t>
  </si>
  <si>
    <t xml:space="preserve">            205.0, 205.33, 205.5, 205.67, 206.0, </t>
  </si>
  <si>
    <t xml:space="preserve">            206.33, 206.5, 206.67, 207.0, 207.33, </t>
  </si>
  <si>
    <t xml:space="preserve">            207.5, 207.67, 208.0, 208.33, 208.5, </t>
  </si>
  <si>
    <t xml:space="preserve">            208.67, 209.0, 209.33, 209.5, 209.67, </t>
  </si>
  <si>
    <t xml:space="preserve">            210.0, 210.33, 210.5, 210.67, 211.0, </t>
  </si>
  <si>
    <t xml:space="preserve">            211.33, 211.5, 211.67, 212.0, 212.33, </t>
  </si>
  <si>
    <t xml:space="preserve">            212.5, 212.67, 213.0, 213.33, 213.5, </t>
  </si>
  <si>
    <t xml:space="preserve">            213.67, 214.0, 214.33, 214.5, 214.67, </t>
  </si>
  <si>
    <t xml:space="preserve">            215.0, 215.33, 215.5, 215.67, 216.0, </t>
  </si>
  <si>
    <t xml:space="preserve">            216.33, 216.5, 216.67, 217.0, 217.33, </t>
  </si>
  <si>
    <t xml:space="preserve">            217.5, 217.67, 218.0, 218.33, 218.5, </t>
  </si>
  <si>
    <t xml:space="preserve">            218.67, 219.0, 219.33, 219.5, 219.67, </t>
  </si>
  <si>
    <t xml:space="preserve">            220.0, 220.33, 220.5, 220.67, 221.0, </t>
  </si>
  <si>
    <t xml:space="preserve">            221.33, 221.5, 221.67, 222.0, 222.33, </t>
  </si>
  <si>
    <t xml:space="preserve">            222.5, 222.67, 223.0, 223.33, 223.5, </t>
  </si>
  <si>
    <t xml:space="preserve">            223.67, 224.0, 224.33, 224.5, 224.67, </t>
  </si>
  <si>
    <t xml:space="preserve">            225.0, 225.33, 225.5, 225.67, 226.0, </t>
  </si>
  <si>
    <t xml:space="preserve">            226.33, 226.5, 226.67, 227.0, 227.33, </t>
  </si>
  <si>
    <t xml:space="preserve">            227.5, 227.67, 228.0, 228.33, 228.5, </t>
  </si>
  <si>
    <t xml:space="preserve">            228.67, 229.0, 229.33, 229.5, 229.67, </t>
  </si>
  <si>
    <t xml:space="preserve">            230.0, 230.33, 230.5, 230.67, 231.0, </t>
  </si>
  <si>
    <t xml:space="preserve">            231.33, 231.5, 231.67, 232.0, 232.33, </t>
  </si>
  <si>
    <t xml:space="preserve">            232.5, 232.67, 233.0, 233.33, 233.5, </t>
  </si>
  <si>
    <t xml:space="preserve">            233.67, 234.0, 234.33, 234.5, 234.67, </t>
  </si>
  <si>
    <t xml:space="preserve">            235.0, 235.33, 235.5, 235.67, 236.0, </t>
  </si>
  <si>
    <t xml:space="preserve">            236.33, 236.5, 236.67, 237.0, 237.33, </t>
  </si>
  <si>
    <t xml:space="preserve">            237.5, 237.67, 238.0, 238.33, 238.5, </t>
  </si>
  <si>
    <t xml:space="preserve">            238.67, 239.0, 239.33, 239.5, 239.67, </t>
  </si>
  <si>
    <t xml:space="preserve">            240.0, 240.33, 240.5, 240.67, 241.0, </t>
  </si>
  <si>
    <t xml:space="preserve">            241.33, 241.5, 241.67, 242.0, 242.33, </t>
  </si>
  <si>
    <t xml:space="preserve">            242.5, 242.67, 243.0, 243.33, 243.5, </t>
  </si>
  <si>
    <t xml:space="preserve">            243.67, 244.0, 244.33, 244.5, 244.67, </t>
  </si>
  <si>
    <t xml:space="preserve">            245.0, 245.33, 245.5, 245.67, 246.0, </t>
  </si>
  <si>
    <t xml:space="preserve">            246.33, 246.5, 246.67, 247.0, 247.33, </t>
  </si>
  <si>
    <t xml:space="preserve">            247.5, 247.67, 248.0, 248.33, 248.5, </t>
  </si>
  <si>
    <t xml:space="preserve">            2.302, 1.203, 1.021, 0.997, 0.978, </t>
  </si>
  <si>
    <t xml:space="preserve">            0.96, 0.934, 0.905, 0.87, 0.827, </t>
  </si>
  <si>
    <t xml:space="preserve">            0.768, 0.704, 0.637, 0.581, 0.497, </t>
  </si>
  <si>
    <t xml:space="preserve">            0.417, 0.316, 0.273, 0.249, 0.241, </t>
  </si>
  <si>
    <t xml:space="preserve">            0.222, 0.226, 0.209, 0.198, 0.196, </t>
  </si>
  <si>
    <t xml:space="preserve">            0.183, 0.176, 0.175, 0.169, 0.157, </t>
  </si>
  <si>
    <t xml:space="preserve">            0.153, 0.148, 0.143, 0.142, 0.139, </t>
  </si>
  <si>
    <t xml:space="preserve">            0.139, 0.137, 0.134, 0.136, 0.137, </t>
  </si>
  <si>
    <t xml:space="preserve">            0.135, 0.133, 0.129, 0.125, 0.121, </t>
  </si>
  <si>
    <t xml:space="preserve">            0.117, 0.113, 0.11, 0.106, 0.102, </t>
  </si>
  <si>
    <t xml:space="preserve">            0.098, 0.092, 0.086, 0.08, 0.069, </t>
  </si>
  <si>
    <t xml:space="preserve">            0.059, 0.053, 0.049, 0.043, 0.038, </t>
  </si>
  <si>
    <t xml:space="preserve">            0.037, 0.037, 0.038, 0.038, 0.037, </t>
  </si>
  <si>
    <t xml:space="preserve">            0.037, 0.038, 0.037, 0.036, 0.037, </t>
  </si>
  <si>
    <t xml:space="preserve">            0.029, 0.024, 0.026, 0.027, 0.028, </t>
  </si>
  <si>
    <t xml:space="preserve">            0.029, 0.069, 0.085, 0.058, 0.04, </t>
  </si>
  <si>
    <t xml:space="preserve">            0.051, 0.068, 0.058, 0.059, 0.06, </t>
  </si>
  <si>
    <t xml:space="preserve">            0.058, 0.065, 0.067, 0.061, 0.056, </t>
  </si>
  <si>
    <t xml:space="preserve">            0.052, 0.054, 0.064, 0.066, 0.062, </t>
  </si>
  <si>
    <t xml:space="preserve">            0.06, 0.055, 0.064, 0.057, 0.048, </t>
  </si>
  <si>
    <t xml:space="preserve">            0.051, 0.053, 0.048, 0.042, 0.044, </t>
  </si>
  <si>
    <t xml:space="preserve">            0.046, 0.046, 0.044, 0.043, 0.042, </t>
  </si>
  <si>
    <t xml:space="preserve">            0.045, 0.046, 0.046, 0.044, 0.042, </t>
  </si>
  <si>
    <t xml:space="preserve">            0.043, 0.042, 0.04, 0.041, 0.04, </t>
  </si>
  <si>
    <t xml:space="preserve">            0.037, 0.038, 0.037, 0.036, 0.04, </t>
  </si>
  <si>
    <t xml:space="preserve">            0.039, 0.036, 0.035, 0.034, 0.035, </t>
  </si>
  <si>
    <t xml:space="preserve">            0.036, 0.037, 0.036, 0.036, 0.037, </t>
  </si>
  <si>
    <t xml:space="preserve">            0.038, 0.039, 0.039, 0.04, 0.039, </t>
  </si>
  <si>
    <t xml:space="preserve">            0.037, 0.038, 0.04, 0.04, 0.041, </t>
  </si>
  <si>
    <t xml:space="preserve">            0.038, 0.037, 0.037, 0.036, 0.036, </t>
  </si>
  <si>
    <t xml:space="preserve">            0.035, 0.035, 0.035, 0.034, 0.036, </t>
  </si>
  <si>
    <t xml:space="preserve">            0.036, 0.037, 0.037, 0.038, 0.037, </t>
  </si>
  <si>
    <t xml:space="preserve">            0.039, 0.045, 0.047, 0.046, 0.049, </t>
  </si>
  <si>
    <t xml:space="preserve">            0.047, 0.046, 0.042, 0.041, 0.043, </t>
  </si>
  <si>
    <t xml:space="preserve">            0.042, 0.044, 0.044, 0.044, 0.044, </t>
  </si>
  <si>
    <t xml:space="preserve">            0.043, 0.046, 0.049, 0.051, 0.048, </t>
  </si>
  <si>
    <t xml:space="preserve">            0.046, 0.047, 0.046, 0.045, 0.045, </t>
  </si>
  <si>
    <t xml:space="preserve">            0.047, 0.047, 0.047, 0.047, 0.047, </t>
  </si>
  <si>
    <t xml:space="preserve">            0.045, 0.045, 0.046, 0.045, 0.045, </t>
  </si>
  <si>
    <t xml:space="preserve">            0.045, 0.044, 0.044, 0.044, 0.045, </t>
  </si>
  <si>
    <t xml:space="preserve">            0.045, 0.046, 0.046, 0.046, 0.046, </t>
  </si>
  <si>
    <t xml:space="preserve">            0.047, 0.05, 0.047, 0.046, 0.047, </t>
  </si>
  <si>
    <t xml:space="preserve">            0.047, 0.047, 0.046, 0.047, 0.047, </t>
  </si>
  <si>
    <t xml:space="preserve">            0.047, 0.047, 0.047, 0.047, 0.048, </t>
  </si>
  <si>
    <t xml:space="preserve">            0.048, 0.048, 0.048, 0.048, 0.048, </t>
  </si>
  <si>
    <t xml:space="preserve">            0.048, 0.048, 0.049, 0.046, 0.046, </t>
  </si>
  <si>
    <t xml:space="preserve">            0.048, 0.048, 0.047, 0.045, 0.044, </t>
  </si>
  <si>
    <t xml:space="preserve">            0.057, 0.05, 0.043, 0.042, 0.042, </t>
  </si>
  <si>
    <t xml:space="preserve">            0.043, 0.046, 0.047, 0.047, 0.044, </t>
  </si>
  <si>
    <t xml:space="preserve">            0.044, 0.045, 0.045, 0.045, 0.046, </t>
  </si>
  <si>
    <t xml:space="preserve">            0.046, 0.046, 0.046, 0.046, 0.046, </t>
  </si>
  <si>
    <t xml:space="preserve">            0.046, 0.047, 0.047, 0.046, 0.045, </t>
  </si>
  <si>
    <t xml:space="preserve">            0.039, 0.043, 0.045, 0.045, 0.045, </t>
  </si>
  <si>
    <t xml:space="preserve">            0.045, 0.045, 0.046, 0.046, 0.046, </t>
  </si>
  <si>
    <t xml:space="preserve">            0.045, 0.045, 0.045, 0.044, 0.045, </t>
  </si>
  <si>
    <t xml:space="preserve">            0.046, 0.045, 0.045, 0.045, 0.045, </t>
  </si>
  <si>
    <t xml:space="preserve">            0.045, 0.045, 0.045, 0.054, 0.049, </t>
  </si>
  <si>
    <t xml:space="preserve">            0.045, 0.045, 0.045, 0.044, 0.043, </t>
  </si>
  <si>
    <t xml:space="preserve">            0.041, 0.042, 0.043, 0.042, 0.041, </t>
  </si>
  <si>
    <t xml:space="preserve">            0.042, 0.045, 0.044, 0.044, 0.045, </t>
  </si>
  <si>
    <t xml:space="preserve">            0.046, 0.046, 0.046, 0.047, 0.047, </t>
  </si>
  <si>
    <t xml:space="preserve">            0.047, 0.047, 0.046, 0.046, 0.046, </t>
  </si>
  <si>
    <t xml:space="preserve">            0.045, 0.045, 0.044, 0.044, 0.043, </t>
  </si>
  <si>
    <t xml:space="preserve">            0.043, 0.044, 0.042, 0.046, 0.044, </t>
  </si>
  <si>
    <t xml:space="preserve">            0.042, 0.041, 0.04, 0.04, 0.04, </t>
  </si>
  <si>
    <t xml:space="preserve">            0.04, 0.042, 0.044, 0.043, 0.043, </t>
  </si>
  <si>
    <t xml:space="preserve">            0.045, 0.046, 0.047, 0.048, 0.048, </t>
  </si>
  <si>
    <t xml:space="preserve">            0.049, 0.049, 0.05, 0.051, 0.052, </t>
  </si>
  <si>
    <t xml:space="preserve">            0.053, 0.054, 0.056, 0.055, 0.052, </t>
  </si>
  <si>
    <t xml:space="preserve">            0.051, 0.05, 0.05, 0.051, 0.051, </t>
  </si>
  <si>
    <t xml:space="preserve">            0.053, 0.055, 0.054, 0.051, 0.049, </t>
  </si>
  <si>
    <t xml:space="preserve">            0.048, 0.046, 0.046, 0.045, 0.045, </t>
  </si>
  <si>
    <t xml:space="preserve">            0.045, 0.045, 0.045, 0.045, 0.045, </t>
  </si>
  <si>
    <t xml:space="preserve">            0.047, 0.047, 0.047, 0.046, 0.045, </t>
  </si>
  <si>
    <t xml:space="preserve">            0.047, 0.051, 0.052, 0.05, 0.049, </t>
  </si>
  <si>
    <t xml:space="preserve">            0.047, 0.046, 0.046, 0.046, 0.045, </t>
  </si>
  <si>
    <t xml:space="preserve">            0.046, 0.046, 0.046, 0.046, 0.045, </t>
  </si>
  <si>
    <t xml:space="preserve">            0.045, 0.047, 0.051, 0.051, 0.049, </t>
  </si>
  <si>
    <t xml:space="preserve">            0.048, 0.047, 0.046, 0.046, 0.046, </t>
  </si>
  <si>
    <t xml:space="preserve">            0.046, 0.046, 0.046, 0.045, 0.045, </t>
  </si>
  <si>
    <t xml:space="preserve">            0.047, 0.049, 0.05, 0.049, 0.048, </t>
  </si>
  <si>
    <t xml:space="preserve">            0.047, 0.046, 0.046, 0.046, 0.046, </t>
  </si>
  <si>
    <t xml:space="preserve">            0.046, 0.046, 0.046, 0.056, 0.048, </t>
  </si>
  <si>
    <t xml:space="preserve">            0.041, 0.041, 0.044, 0.045, 0.045, </t>
  </si>
  <si>
    <t xml:space="preserve">            0.046, 0.047, 0.047, 0.046, 0.046, </t>
  </si>
  <si>
    <t xml:space="preserve">            0.047, 0.047, 0.047, 0.046, 0.047, </t>
  </si>
  <si>
    <t xml:space="preserve">            0.046, 0.046, 0.047, 0.047, 0.047, </t>
  </si>
  <si>
    <t xml:space="preserve">            0.046, 0.047, 0.047, 0.047, 0.047, </t>
  </si>
  <si>
    <t xml:space="preserve">            0.047, 0.047, 0.047, 0.047, 0.046, </t>
  </si>
  <si>
    <t xml:space="preserve">            0.046, 0.046, 0.045, 0.045, 0.045, </t>
  </si>
  <si>
    <t xml:space="preserve">            0.045, 0.045, 0.052, 0.047, 0.048, </t>
  </si>
  <si>
    <t xml:space="preserve">            0.048, 0.045, 0.045, 0.046, 0.047, </t>
  </si>
  <si>
    <t xml:space="preserve">            0.047, 0.048, 0.048, 0.049, 0.049, </t>
  </si>
  <si>
    <t xml:space="preserve">            0.05, 0.051, 0.052, 0.049, 0.046, </t>
  </si>
  <si>
    <t xml:space="preserve">            0.047, 0.046, 0.046, 0.047, 0.046, </t>
  </si>
  <si>
    <t xml:space="preserve">            0.047, 0.046, 0.047, 0.047, 0.046, </t>
  </si>
  <si>
    <t xml:space="preserve">            0.046, 0.046, 0.047, 0.047, 0.046, </t>
  </si>
  <si>
    <t xml:space="preserve">            0.047, 0.047, 0.046, 0.047, 0.046, </t>
  </si>
  <si>
    <t xml:space="preserve">            0.047, 0.047, 0.046, 0.046, 0.047, </t>
  </si>
  <si>
    <t xml:space="preserve">            0.046, 0.047, 0.052, 0.052, 0.049, </t>
  </si>
  <si>
    <t xml:space="preserve">            0.046, 0.046, 0.046, 0.048, 0.051, </t>
  </si>
  <si>
    <t xml:space="preserve">            0.05, 0.048, 0.047, 0.046, 0.046, </t>
  </si>
  <si>
    <t xml:space="preserve">            0.046, 0.046, 0.045, 0.046, 0.046, </t>
  </si>
  <si>
    <t xml:space="preserve">    "internal radius" : "86.0 in",</t>
  </si>
  <si>
    <t xml:space="preserve">    "wall thickness" : "8.75 in",</t>
  </si>
  <si>
    <t xml:space="preserve">    "crack-face pressure loading" : true,</t>
  </si>
  <si>
    <t xml:space="preserve">    "stress-free temperature" : "488.0 F",</t>
  </si>
  <si>
    <t xml:space="preserve">            10000.0, 10000.0</t>
  </si>
  <si>
    <t xml:space="preserve">            0.0, 1.0, 2.0, 3.0, 4.0, </t>
  </si>
  <si>
    <t xml:space="preserve">            5.0, 6.0, 7.0, 8.0, 9.0, </t>
  </si>
  <si>
    <t xml:space="preserve">            10.0, 11.0, 12.0, 13.0, 14.0, </t>
  </si>
  <si>
    <t xml:space="preserve">            15.0, 16.0, 17.0, 18.0, 19.0, </t>
  </si>
  <si>
    <t xml:space="preserve">            20.0, 21.0, 22.0, 23.0, 24.0, </t>
  </si>
  <si>
    <t xml:space="preserve">            25.0, 26.0, 27.0, 28.0, 29.0, </t>
  </si>
  <si>
    <t xml:space="preserve">            30.0, 31.0, 32.0, 33.0, 34.0, </t>
  </si>
  <si>
    <t xml:space="preserve">            35.0, 36.0, 37.0, 38.0, 39.0, </t>
  </si>
  <si>
    <t xml:space="preserve">            40.0, 41.0, 42.0, 43.0, 44.0, </t>
  </si>
  <si>
    <t xml:space="preserve">            45.0, 46.0, 47.0, 48.0, 49.0, </t>
  </si>
  <si>
    <t xml:space="preserve">            50.0, 51.0, 52.0, 53.0, 54.0, </t>
  </si>
  <si>
    <t xml:space="preserve">            55.0, 56.0, 57.0, 58.0, 59.0, </t>
  </si>
  <si>
    <t xml:space="preserve">            60.0, 61.0, 62.0, 63.0, 64.0, </t>
  </si>
  <si>
    <t xml:space="preserve">            65.0, 66.0, 67.0, 68.0, 69.0, </t>
  </si>
  <si>
    <t xml:space="preserve">            70.0, 71.0, 72.0, 73.0, 74.0, </t>
  </si>
  <si>
    <t xml:space="preserve">            75.0, 76.0, 77.0, 78.0, 79.0, </t>
  </si>
  <si>
    <t xml:space="preserve">            80.0, 81.0, 82.0, 83.0, 84.0, </t>
  </si>
  <si>
    <t xml:space="preserve">            85.0, 86.0, 87.0, 88.0, 89.0, </t>
  </si>
  <si>
    <t xml:space="preserve">            90.0, 91.0, 92.0, 93.0, 94.0, </t>
  </si>
  <si>
    <t xml:space="preserve">            95.0, 96.0, 97.0, 98.0, 99.0, </t>
  </si>
  <si>
    <t xml:space="preserve">            100.0, 101.0, 102.0, 103.0, 104.0, </t>
  </si>
  <si>
    <t xml:space="preserve">            105.0, 106.0, 107.0, 108.0, 109.0, </t>
  </si>
  <si>
    <t xml:space="preserve">            110.0, 111.0, 112.0, 113.0, 114.0, </t>
  </si>
  <si>
    <t xml:space="preserve">            115.0, 116.0, 117.0, 118.0, 119.0, </t>
  </si>
  <si>
    <t xml:space="preserve">            120.0, 121.0, 122.0, 123.0, 124.0, </t>
  </si>
  <si>
    <t xml:space="preserve">            125.0, 126.0, 127.0, 128.0, 129.0, </t>
  </si>
  <si>
    <t xml:space="preserve">            130.0, 131.0, 132.0, 133.0, 134.0, </t>
  </si>
  <si>
    <t xml:space="preserve">            135.0, 136.0, 137.0, 138.0, 139.0, </t>
  </si>
  <si>
    <t xml:space="preserve">            140.0, 141.0, 142.0, 143.0, 144.0, </t>
  </si>
  <si>
    <t xml:space="preserve">            145.0, 146.0, 147.0, 148.0, 149.0, </t>
  </si>
  <si>
    <t xml:space="preserve">            150.0, 151.0, 152.0, 153.0, 154.0, </t>
  </si>
  <si>
    <t xml:space="preserve">            155.0, 156.0, 157.0, 158.0, 159.0, </t>
  </si>
  <si>
    <t xml:space="preserve">            160.0, 161.0, 162.0, 163.0, 164.0, </t>
  </si>
  <si>
    <t xml:space="preserve">            165.0, 166.0, 167.0, 168.0, 169.0, </t>
  </si>
  <si>
    <t xml:space="preserve">            170.0, 171.0, 172.0, 173.0, 174.0, </t>
  </si>
  <si>
    <t xml:space="preserve">            175.0, 176.0, 177.0, 178.0, 179.0, </t>
  </si>
  <si>
    <t xml:space="preserve">            180.0, 181.0, 182.0, 183.0, 184.0, </t>
  </si>
  <si>
    <t xml:space="preserve">            185.0, 186.0, 187.0, 188.0, 189.0, </t>
  </si>
  <si>
    <t xml:space="preserve">            190.0, 191.0, 192.0, 193.0, 194.0, </t>
  </si>
  <si>
    <t xml:space="preserve">            195.0, 196.0, 197.0, 198.0, 199.0, </t>
  </si>
  <si>
    <t xml:space="preserve">            200.0, 201.0, 202.0, 203.0, 204.0, </t>
  </si>
  <si>
    <t xml:space="preserve">            205.0, 206.0, 207.0, 208.0, 209.0, </t>
  </si>
  <si>
    <t xml:space="preserve">            210.0, 211.0, 212.0, 213.0, 214.0, </t>
  </si>
  <si>
    <t xml:space="preserve">            215.0, 216.0, 217.0, 218.0, 219.0, </t>
  </si>
  <si>
    <t xml:space="preserve">            220.0, 221.0, 222.0, 223.0, 224.0, </t>
  </si>
  <si>
    <t xml:space="preserve">            225.0, 226.0, 227.0, 228.0, 229.0, </t>
  </si>
  <si>
    <t xml:space="preserve">            230.0, 231.0, 232.0, 233.0, 234.0, </t>
  </si>
  <si>
    <t xml:space="preserve">            235.0, 236.0, 237.0, 238.0, 239.0, </t>
  </si>
  <si>
    <t xml:space="preserve">            240.0, 241.0, 242.0, 243.0, 244.0, </t>
  </si>
  <si>
    <t xml:space="preserve">            245.0, 246.0, 247.0, 248.0, 249.0, </t>
  </si>
  <si>
    <t xml:space="preserve">            250.0, 251.0, 252.0, 253.0, 254.0, </t>
  </si>
  <si>
    <t xml:space="preserve">            255.0, 256.0, 257.0, 258.0, 259.0, </t>
  </si>
  <si>
    <t xml:space="preserve">            260.0, 261.0, 262.0, 263.0, 264.0, </t>
  </si>
  <si>
    <t xml:space="preserve">            265.0, 266.0, 267.0, 268.0, 269.0, </t>
  </si>
  <si>
    <t xml:space="preserve">            270.0, 271.0, 272.0, 273.0, 274.0, </t>
  </si>
  <si>
    <t xml:space="preserve">            275.0, 276.0, 277.0, 278.0, 279.0, </t>
  </si>
  <si>
    <t xml:space="preserve">            280.0, 281.0, 282.0, 283.0, 284.0, </t>
  </si>
  <si>
    <t xml:space="preserve">            285.0, 286.0, 287.0, 288.0, 289.0, </t>
  </si>
  <si>
    <t xml:space="preserve">            290.0, 291.0, 292.0, 293.0, 294.0, </t>
  </si>
  <si>
    <t xml:space="preserve">            295.0, 296.0, 297.0, 298.0, 299.0, </t>
  </si>
  <si>
    <t xml:space="preserve">    "axial residual stresses in weld" : false,</t>
  </si>
  <si>
    <t xml:space="preserve">    "circumferential residual stresses in weld" : false</t>
  </si>
  <si>
    <t xml:space="preserve">    "total time" : "600.0 m",</t>
  </si>
  <si>
    <t xml:space="preserve">            0.0, 600.0</t>
  </si>
  <si>
    <t xml:space="preserve">            600.0</t>
  </si>
  <si>
    <t xml:space="preserve">            2.1, 2.1, 2.1, 2.1, 2.1, </t>
  </si>
  <si>
    <t xml:space="preserve">            2.1, 2.1, 2.1, 2.1, 2.08, </t>
  </si>
  <si>
    <t xml:space="preserve">            2.05, 2.02, 1.99, 1.97, 1.94, </t>
  </si>
  <si>
    <t xml:space="preserve">            1.91, 1.89, 1.86, 1.84, 1.81, </t>
  </si>
  <si>
    <t xml:space="preserve">            1.79, 1.77, 1.74, 1.72, 1.7, </t>
  </si>
  <si>
    <t xml:space="preserve">            1.68, 1.66, 1.64, 1.62, 1.59, </t>
  </si>
  <si>
    <t xml:space="preserve">            1.57, 1.55, 1.54, 1.52, 1.5, </t>
  </si>
  <si>
    <t xml:space="preserve">            1.48, 1.46, 1.44, 1.43, 1.41, </t>
  </si>
  <si>
    <t xml:space="preserve">            1.39, 1.37, 1.36, 1.34, 1.33, </t>
  </si>
  <si>
    <t xml:space="preserve">            1.31, 1.3, 1.28, 1.27, 1.25, </t>
  </si>
  <si>
    <t xml:space="preserve">            1.24, 1.22, 1.21, 1.19, 1.18, </t>
  </si>
  <si>
    <t xml:space="preserve">            1.17, 1.15, 1.14, 1.13, 1.12, </t>
  </si>
  <si>
    <t xml:space="preserve">            1.1, 1.09, 1.08, 1.07, 1.06, </t>
  </si>
  <si>
    <t xml:space="preserve">            1.05, 1.04, 1.03, 1.01, 1.0, </t>
  </si>
  <si>
    <t xml:space="preserve">            0.99, 0.98, 0.97, 0.96, 0.95, </t>
  </si>
  <si>
    <t xml:space="preserve">            0.94, 0.94, 0.93, 0.92, 0.91, </t>
  </si>
  <si>
    <t xml:space="preserve">            0.9, 0.89, 0.88, 0.87, 0.87, </t>
  </si>
  <si>
    <t xml:space="preserve">            0.86, 0.85, 0.84, 0.83, 0.83, </t>
  </si>
  <si>
    <t xml:space="preserve">            0.82, 0.81, 0.81, 0.8, 0.79, </t>
  </si>
  <si>
    <t xml:space="preserve">            0.78, 0.78, 0.77, 0.76, 0.76, </t>
  </si>
  <si>
    <t xml:space="preserve">            0.75, 0.75, 0.74, 0.73, 0.73, </t>
  </si>
  <si>
    <t xml:space="preserve">            0.72, 0.72, 0.71, 0.71, 0.7, </t>
  </si>
  <si>
    <t xml:space="preserve">            0.7, 0.69, 0.68, 0.68, 0.68, </t>
  </si>
  <si>
    <t xml:space="preserve">            0.67, 0.67, 0.66, 0.66, 0.65, </t>
  </si>
  <si>
    <t xml:space="preserve">            0.65, 0.64, 0.64, 0.63, 0.63, </t>
  </si>
  <si>
    <t xml:space="preserve">            0.63, 0.62, 0.62, 0.61, 0.61, </t>
  </si>
  <si>
    <t xml:space="preserve">            0.61, 0.6, 0.6, 0.6, 0.59, </t>
  </si>
  <si>
    <t xml:space="preserve">            0.59, 0.59, 0.58, 0.58, 0.58, </t>
  </si>
  <si>
    <t xml:space="preserve">            0.57, 0.57, 0.57, 0.56, 0.56, </t>
  </si>
  <si>
    <t xml:space="preserve">            0.56, 0.56, 0.55, 0.55, 0.55, </t>
  </si>
  <si>
    <t xml:space="preserve">            0.54, 0.54, 0.54, 0.54, 0.53, </t>
  </si>
  <si>
    <t xml:space="preserve">            0.53, 0.53, 0.53, 0.52, 0.52, </t>
  </si>
  <si>
    <t xml:space="preserve">            0.52, 0.52, 0.52, 0.51, 0.51, </t>
  </si>
  <si>
    <t xml:space="preserve">            0.51, 0.51, 0.51, 0.5, 0.5, </t>
  </si>
  <si>
    <t xml:space="preserve">            0.5, 0.5, 0.5, 0.49, 0.49, </t>
  </si>
  <si>
    <t xml:space="preserve">            0.49, 0.49, 0.49, 0.49, 0.48, </t>
  </si>
  <si>
    <t xml:space="preserve">            0.48, 0.48, 0.48, 0.48, 0.48, </t>
  </si>
  <si>
    <t xml:space="preserve">            0.47, 0.47, 0.47, 0.47, 0.47, </t>
  </si>
  <si>
    <t xml:space="preserve">            0.47, 0.47, 0.46, 0.46, 0.46, </t>
  </si>
  <si>
    <t xml:space="preserve">            0.46, 0.46, 0.46, 0.46, 0.46, </t>
  </si>
  <si>
    <t xml:space="preserve">            0.45, 0.45, 0.45, 0.45, 0.45, </t>
  </si>
  <si>
    <t xml:space="preserve">            0.45, 0.45, 0.45, 0.45, 0.44, </t>
  </si>
  <si>
    <t xml:space="preserve">            0.44, 0.44, 0.44, 0.44, 0.44, </t>
  </si>
  <si>
    <t xml:space="preserve">            0.43, 0.43, 0.43, 0.43, 0.43, </t>
  </si>
  <si>
    <t xml:space="preserve">            0.43, 0.43, 0.43, 0.43, 0.42, </t>
  </si>
  <si>
    <t xml:space="preserve">            0.42, 0.42, 0.42, 0.42, 0.42, </t>
  </si>
  <si>
    <t xml:space="preserve">            0.42, 0.41, 0.41, 0.41, 0.41, </t>
  </si>
  <si>
    <t xml:space="preserve">            0.41, 0.41, 0.41, 0.41, 0.41, </t>
  </si>
  <si>
    <t xml:space="preserve">            0.4, 0.4, 0.4, 0.4, 0.4, </t>
  </si>
  <si>
    <t xml:space="preserve">            0.4, 0.4, 0.4, 0.39, 0.39, </t>
  </si>
  <si>
    <t xml:space="preserve">            0.39, 0.39, 0.39, 0.39, 0.39, </t>
  </si>
  <si>
    <t xml:space="preserve">            0.39, 0.4, 0.4, 0.4, 0.41, </t>
  </si>
  <si>
    <t xml:space="preserve">            0.41, 0.41, 0.42, 0.42, 0.43, </t>
  </si>
  <si>
    <t xml:space="preserve">            0.43, 0.43, 0.44, 0.44, 0.45, </t>
  </si>
  <si>
    <t xml:space="preserve">            0.45, 0.45, 0.46, 0.46, 0.46, </t>
  </si>
  <si>
    <t xml:space="preserve">            0.46, 0.47, 0.47, 0.47, 0.48, </t>
  </si>
  <si>
    <t xml:space="preserve">            0.48, 0.48, 0.48, 0.48, 0.49, </t>
  </si>
  <si>
    <t xml:space="preserve">            0.49, 0.49, 0.49, 0.5, 0.5, </t>
  </si>
  <si>
    <t xml:space="preserve">            0.5, 0.5, 0.5, 0.5, 0.51, </t>
  </si>
  <si>
    <t xml:space="preserve">            0.51, 0.51, 0.51, 0.51, 0.51, </t>
  </si>
  <si>
    <t xml:space="preserve">            0.51</t>
  </si>
  <si>
    <t xml:space="preserve">      "temperature dependent" : false,</t>
  </si>
  <si>
    <t xml:space="preserve">      "thermal conductivity" : "24.0 BTU/(h ft F)",</t>
  </si>
  <si>
    <t xml:space="preserve">      "young's elastic modulus" : "28000.0 ksi",</t>
  </si>
  <si>
    <t xml:space="preserve">      "thermal expansion coefficient" : "0.00000777 1/F",</t>
  </si>
  <si>
    <t xml:space="preserve">      "poisson's ratio" : 0.3</t>
  </si>
  <si>
    <t xml:space="preserve">          "initial coolant temperature" : "544.8 F",</t>
  </si>
  <si>
    <t xml:space="preserve">          "lowest transient temperature" : "50.4 F",</t>
  </si>
  <si>
    <t xml:space="preserve">      "thermal conductivity" : "10.0 BTU/(h ft F)",</t>
  </si>
  <si>
    <t xml:space="preserve">          "decay constant" : "0.025 1/m"</t>
  </si>
  <si>
    <t>C:\Users\patri\OneDrive\Documents\GitHub\FAVPRO_REFOUT\load\ver_9.in</t>
  </si>
  <si>
    <t>ver_9</t>
  </si>
  <si>
    <t xml:space="preserve">        "thermal-hydraulic sequence number" : 11,</t>
  </si>
  <si>
    <t xml:space="preserve">            0.0, 554.4, 600.0</t>
  </si>
  <si>
    <t xml:space="preserve">            532.0, 70.0, 70.0</t>
  </si>
  <si>
    <t xml:space="preserve">            300.0, 301.0, 302.0, 303.0, 304.0, </t>
  </si>
  <si>
    <t xml:space="preserve">            305.0, 306.0, 307.0, 308.0, 309.0, </t>
  </si>
  <si>
    <t xml:space="preserve">            310.0, 311.0, 312.0, 313.0, 314.0, </t>
  </si>
  <si>
    <t xml:space="preserve">            315.0, 316.0, 317.0, 318.0, 319.0, </t>
  </si>
  <si>
    <t xml:space="preserve">            320.0, 321.0, 322.0, 323.0, 324.0, </t>
  </si>
  <si>
    <t xml:space="preserve">            325.0, 326.0, 327.0, 328.0, 329.0, </t>
  </si>
  <si>
    <t xml:space="preserve">            330.0, 331.0, 332.0, 333.0, 334.0, </t>
  </si>
  <si>
    <t xml:space="preserve">            335.0, 336.0, 337.0, 338.0, 339.0, </t>
  </si>
  <si>
    <t xml:space="preserve">            340.0, 341.0, 342.0, 343.0, 344.0, </t>
  </si>
  <si>
    <t xml:space="preserve">            345.0, 346.0, 347.0, 348.0, 349.0, </t>
  </si>
  <si>
    <t xml:space="preserve">            350.0, 351.0, 352.0, 353.0, 354.0, </t>
  </si>
  <si>
    <t xml:space="preserve">            355.0, 356.0, 357.0, 358.0, 359.0, </t>
  </si>
  <si>
    <t xml:space="preserve">            360.0, 361.0, 362.0, 363.0, 364.0, </t>
  </si>
  <si>
    <t xml:space="preserve">            365.0, 366.0, 367.0, 368.0, 369.0, </t>
  </si>
  <si>
    <t xml:space="preserve">            370.0, 371.0, 372.0, 373.0, 374.0, </t>
  </si>
  <si>
    <t xml:space="preserve">            375.0, 376.0, 377.0, 378.0, 379.0, </t>
  </si>
  <si>
    <t xml:space="preserve">            380.0, 381.0, 382.0, 383.0, 384.0, </t>
  </si>
  <si>
    <t xml:space="preserve">            385.0, 386.0, 387.0, 388.0, 389.0, </t>
  </si>
  <si>
    <t xml:space="preserve">            390.0, 391.0, 392.0, 393.0, 394.0, </t>
  </si>
  <si>
    <t xml:space="preserve">            395.0, 396.0, 397.0, 398.0, 399.0, </t>
  </si>
  <si>
    <t xml:space="preserve">            400.0, 401.0, 402.0, 403.0, 404.0, </t>
  </si>
  <si>
    <t xml:space="preserve">            405.0, 406.0, 407.0, 408.0, 409.0, </t>
  </si>
  <si>
    <t xml:space="preserve">            410.0, 411.0, 412.0, 413.0, 414.0, </t>
  </si>
  <si>
    <t xml:space="preserve">            415.0, 416.0, 417.0, 418.0, 419.0, </t>
  </si>
  <si>
    <t xml:space="preserve">            420.0, 421.0, 422.0, 423.0, 424.0, </t>
  </si>
  <si>
    <t xml:space="preserve">            425.0, 426.0, 427.0, 428.0, 429.0, </t>
  </si>
  <si>
    <t xml:space="preserve">            430.0, 431.0, 432.0, 433.0, 434.0, </t>
  </si>
  <si>
    <t xml:space="preserve">            435.0, 436.0, 437.0, 438.0, 439.0, </t>
  </si>
  <si>
    <t xml:space="preserve">            440.0, 441.0, 442.0, 443.0, 444.0, </t>
  </si>
  <si>
    <t xml:space="preserve">            445.0, 446.0, 447.0, 448.0, 449.0, </t>
  </si>
  <si>
    <t xml:space="preserve">            450.0, 451.0, 452.0, 453.0, 454.0, </t>
  </si>
  <si>
    <t xml:space="preserve">            455.0, 456.0, 457.0, 458.0, 459.0, </t>
  </si>
  <si>
    <t xml:space="preserve">            460.0, 461.0, 462.0, 463.0, 464.0, </t>
  </si>
  <si>
    <t xml:space="preserve">            465.0, 466.0, 467.0, 468.0, 469.0, </t>
  </si>
  <si>
    <t xml:space="preserve">            470.0, 471.0, 472.0, 473.0, 474.0, </t>
  </si>
  <si>
    <t xml:space="preserve">            475.0, 476.0, 477.0, 478.0, 479.0, </t>
  </si>
  <si>
    <t xml:space="preserve">            480.0, 481.0, 482.0, 483.0, 484.0, </t>
  </si>
  <si>
    <t xml:space="preserve">            485.0, 486.0, 487.0, 488.0, 489.0, </t>
  </si>
  <si>
    <t xml:space="preserve">            490.0, 491.0, 492.0, 493.0, 494.0, </t>
  </si>
  <si>
    <t xml:space="preserve">            495.0, 496.0, 497.0, 498.0, 499.0, </t>
  </si>
  <si>
    <t xml:space="preserve">            500.0, 501.0, 502.0, 503.0, 504.0, </t>
  </si>
  <si>
    <t xml:space="preserve">            505.0, 506.0, 507.0, 508.0, 509.0, </t>
  </si>
  <si>
    <t xml:space="preserve">            510.0, 511.0, 512.0, 513.0, 514.0, </t>
  </si>
  <si>
    <t xml:space="preserve">            515.0, 516.0, 517.0, 518.0, 519.0, </t>
  </si>
  <si>
    <t xml:space="preserve">            520.0, 521.0, 522.0, 523.0, 524.0, </t>
  </si>
  <si>
    <t xml:space="preserve">            525.0, 526.0, 527.0, 528.0, 529.0, </t>
  </si>
  <si>
    <t xml:space="preserve">            530.0, 531.0, 532.0, 533.0, 534.0, </t>
  </si>
  <si>
    <t xml:space="preserve">            535.0, 536.0, 537.0, 538.0, 539.0, </t>
  </si>
  <si>
    <t xml:space="preserve">            540.0, 541.0, 542.0, 543.0, 544.0, </t>
  </si>
  <si>
    <t xml:space="preserve">            545.0, 546.0, 547.0, 548.0, 549.0, </t>
  </si>
  <si>
    <t xml:space="preserve">            550.0, 551.0, 552.0, 553.0, 554.0, </t>
  </si>
  <si>
    <t xml:space="preserve">            555.0, 556.0, 557.0, 558.0, 559.0, </t>
  </si>
  <si>
    <t xml:space="preserve">            560.0, 561.0, 562.0, 563.0, 564.0, </t>
  </si>
  <si>
    <t xml:space="preserve">            565.0, 566.0, 567.0, 568.0, 569.0, </t>
  </si>
  <si>
    <t xml:space="preserve">            570.0, 571.0, 572.0, 573.0, 574.0, </t>
  </si>
  <si>
    <t xml:space="preserve">            575.0, 576.0, 577.0, 578.0, 579.0, </t>
  </si>
  <si>
    <t xml:space="preserve">            580.0, 581.0, 582.0, 583.0, 584.0, </t>
  </si>
  <si>
    <t xml:space="preserve">            585.0, 586.0, 587.0, 588.0, 589.0, </t>
  </si>
  <si>
    <t xml:space="preserve">            590.0, 591.0, 592.0, 593.0, 594.0, </t>
  </si>
  <si>
    <t xml:space="preserve">            595.0, 596.0, 597.0, 598.0, 599.0, </t>
  </si>
  <si>
    <t xml:space="preserve">        "thermal-hydraulic sequence number" : 22,</t>
  </si>
  <si>
    <t xml:space="preserve">            248.67, 249.0, 249.33, 249.5, 250.0, </t>
  </si>
  <si>
    <t xml:space="preserve">            0.046</t>
  </si>
  <si>
    <t>lbf 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</si>
</sst>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0000"/>
    <numFmt numFmtId="165" formatCode="0.000"/>
    <numFmt numFmtId="166" formatCode="0.000E+00"/>
  </numFmts>
  <fonts count="15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7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theme="1"/>
      <name val="Courier New"/>
      <family val="3"/>
    </font>
    <font>
      <b/>
      <sz val="11"/>
      <name val="Calibri"/>
      <family val="2"/>
      <scheme val="minor"/>
    </font>
    <font>
      <b/>
      <sz val="11"/>
      <color rgb="FF7030A0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/>
    <xf numFmtId="0" fontId="3" fillId="0" borderId="0"/>
  </cellStyleXfs>
  <cellXfs count="224">
    <xf numFmtId="0" fontId="0" fillId="0" borderId="0" xfId="0"/>
    <xf numFmtId="0" fontId="0" fillId="0" borderId="0" xfId="0" applyFont="1" applyAlignment="1" applyProtection="1">
      <alignment vertical="center"/>
    </xf>
    <xf numFmtId="0" fontId="0" fillId="0" borderId="0" xfId="0" applyAlignment="1">
      <alignment vertical="top"/>
    </xf>
    <xf numFmtId="0" fontId="6" fillId="0" borderId="0" xfId="1" applyFont="1" applyAlignment="1" applyProtection="1">
      <alignment vertical="center"/>
    </xf>
    <xf numFmtId="0" fontId="9" fillId="0" borderId="0" xfId="0" applyFont="1" applyAlignment="1" applyProtection="1">
      <alignment horizontal="left" vertical="center"/>
      <protection locked="0"/>
    </xf>
    <xf numFmtId="0" fontId="9" fillId="0" borderId="0" xfId="0" applyFont="1" applyBorder="1" applyAlignment="1" applyProtection="1">
      <alignment horizontal="left"/>
      <protection locked="0"/>
    </xf>
    <xf numFmtId="0" fontId="9" fillId="0" borderId="13" xfId="0" applyFont="1" applyBorder="1" applyAlignment="1" applyProtection="1">
      <alignment horizontal="left"/>
      <protection locked="0"/>
    </xf>
    <xf numFmtId="0" fontId="9" fillId="0" borderId="1" xfId="0" applyFont="1" applyBorder="1" applyAlignment="1" applyProtection="1">
      <alignment horizontal="left"/>
      <protection locked="0"/>
    </xf>
    <xf numFmtId="0" fontId="9" fillId="0" borderId="4" xfId="0" applyFont="1" applyBorder="1" applyAlignment="1" applyProtection="1">
      <alignment horizontal="left"/>
      <protection locked="0"/>
    </xf>
    <xf numFmtId="0" fontId="9" fillId="0" borderId="32" xfId="0" applyFont="1" applyBorder="1" applyAlignment="1" applyProtection="1">
      <alignment horizontal="left"/>
      <protection locked="0"/>
    </xf>
    <xf numFmtId="0" fontId="9" fillId="0" borderId="29" xfId="2" applyFont="1" applyBorder="1" applyAlignment="1" applyProtection="1">
      <alignment horizontal="left" vertical="center"/>
      <protection locked="0"/>
    </xf>
    <xf numFmtId="0" fontId="11" fillId="0" borderId="22" xfId="0" applyFont="1" applyBorder="1" applyAlignment="1" applyProtection="1">
      <alignment horizontal="left"/>
      <protection locked="0"/>
    </xf>
    <xf numFmtId="0" fontId="11" fillId="0" borderId="23" xfId="0" applyFont="1" applyBorder="1" applyAlignment="1" applyProtection="1">
      <alignment horizontal="left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vertical="center"/>
    </xf>
    <xf numFmtId="0" fontId="0" fillId="0" borderId="0" xfId="0" applyProtection="1"/>
    <xf numFmtId="0" fontId="6" fillId="0" borderId="0" xfId="0" applyFont="1" applyProtection="1"/>
    <xf numFmtId="0" fontId="1" fillId="0" borderId="0" xfId="0" applyFont="1" applyProtection="1"/>
    <xf numFmtId="0" fontId="9" fillId="0" borderId="0" xfId="0" applyFont="1" applyAlignment="1" applyProtection="1">
      <alignment vertical="center"/>
    </xf>
    <xf numFmtId="0" fontId="6" fillId="0" borderId="0" xfId="0" applyFont="1" applyAlignment="1" applyProtection="1">
      <alignment vertical="center"/>
    </xf>
    <xf numFmtId="0" fontId="7" fillId="0" borderId="0" xfId="0" applyFont="1" applyAlignment="1" applyProtection="1">
      <alignment vertical="center"/>
    </xf>
    <xf numFmtId="0" fontId="9" fillId="0" borderId="0" xfId="0" applyFont="1" applyAlignment="1" applyProtection="1">
      <alignment horizontal="right" vertical="center"/>
    </xf>
    <xf numFmtId="0" fontId="9" fillId="0" borderId="0" xfId="0" applyFont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/>
      <protection locked="0"/>
    </xf>
    <xf numFmtId="0" fontId="0" fillId="0" borderId="7" xfId="0" applyFont="1" applyBorder="1" applyAlignment="1" applyProtection="1">
      <alignment vertical="center"/>
    </xf>
    <xf numFmtId="0" fontId="0" fillId="0" borderId="8" xfId="0" applyFont="1" applyBorder="1" applyAlignment="1" applyProtection="1">
      <alignment vertical="center"/>
    </xf>
    <xf numFmtId="0" fontId="0" fillId="0" borderId="9" xfId="0" applyFont="1" applyBorder="1" applyAlignment="1" applyProtection="1">
      <alignment vertical="center"/>
    </xf>
    <xf numFmtId="0" fontId="5" fillId="0" borderId="12" xfId="0" applyFont="1" applyBorder="1" applyAlignment="1" applyProtection="1">
      <alignment horizontal="left" vertical="center"/>
    </xf>
    <xf numFmtId="0" fontId="6" fillId="0" borderId="4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vertical="center"/>
    </xf>
    <xf numFmtId="0" fontId="7" fillId="0" borderId="12" xfId="0" applyFont="1" applyBorder="1" applyAlignment="1" applyProtection="1">
      <alignment horizontal="left" vertical="center"/>
    </xf>
    <xf numFmtId="0" fontId="7" fillId="0" borderId="5" xfId="0" applyFont="1" applyBorder="1" applyAlignment="1" applyProtection="1">
      <alignment horizontal="right" vertical="center"/>
    </xf>
    <xf numFmtId="0" fontId="7" fillId="0" borderId="19" xfId="0" applyFont="1" applyBorder="1" applyAlignment="1" applyProtection="1">
      <alignment horizontal="left" vertical="center"/>
    </xf>
    <xf numFmtId="0" fontId="7" fillId="0" borderId="4" xfId="0" applyFont="1" applyBorder="1" applyAlignment="1" applyProtection="1">
      <alignment horizontal="right" vertical="center"/>
    </xf>
    <xf numFmtId="0" fontId="7" fillId="0" borderId="15" xfId="0" applyFont="1" applyBorder="1" applyAlignment="1" applyProtection="1">
      <alignment horizontal="left" vertical="center"/>
    </xf>
    <xf numFmtId="0" fontId="7" fillId="0" borderId="3" xfId="0" applyFont="1" applyBorder="1" applyAlignment="1" applyProtection="1">
      <alignment horizontal="right" vertical="center"/>
    </xf>
    <xf numFmtId="0" fontId="7" fillId="0" borderId="17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horizontal="left" vertical="center"/>
    </xf>
    <xf numFmtId="0" fontId="7" fillId="0" borderId="11" xfId="0" applyFont="1" applyBorder="1" applyAlignment="1" applyProtection="1">
      <alignment horizontal="right" vertical="center"/>
    </xf>
    <xf numFmtId="0" fontId="0" fillId="0" borderId="13" xfId="0" applyFont="1" applyBorder="1" applyAlignment="1" applyProtection="1">
      <alignment vertical="center" wrapText="1"/>
    </xf>
    <xf numFmtId="0" fontId="0" fillId="0" borderId="1" xfId="0" applyFont="1" applyBorder="1" applyAlignment="1" applyProtection="1">
      <alignment vertical="center" wrapText="1"/>
    </xf>
    <xf numFmtId="0" fontId="0" fillId="0" borderId="3" xfId="0" applyFont="1" applyBorder="1" applyAlignment="1" applyProtection="1">
      <alignment vertical="center" wrapText="1"/>
    </xf>
    <xf numFmtId="0" fontId="0" fillId="0" borderId="14" xfId="0" applyFont="1" applyBorder="1" applyAlignment="1" applyProtection="1">
      <alignment vertical="center" wrapText="1"/>
    </xf>
    <xf numFmtId="0" fontId="0" fillId="0" borderId="0" xfId="0" applyFont="1" applyAlignment="1" applyProtection="1">
      <alignment vertical="center" wrapText="1"/>
    </xf>
    <xf numFmtId="0" fontId="0" fillId="0" borderId="0" xfId="0" applyFont="1" applyAlignment="1" applyProtection="1">
      <alignment horizontal="left"/>
    </xf>
    <xf numFmtId="0" fontId="9" fillId="0" borderId="0" xfId="0" applyFont="1" applyBorder="1" applyAlignment="1" applyProtection="1">
      <alignment horizontal="right" vertical="center"/>
      <protection locked="0"/>
    </xf>
    <xf numFmtId="0" fontId="9" fillId="0" borderId="15" xfId="0" applyFont="1" applyBorder="1" applyAlignment="1" applyProtection="1">
      <alignment horizontal="left"/>
      <protection locked="0"/>
    </xf>
    <xf numFmtId="0" fontId="4" fillId="0" borderId="14" xfId="0" applyFont="1" applyBorder="1" applyAlignment="1" applyProtection="1">
      <alignment horizontal="left"/>
      <protection locked="0"/>
    </xf>
    <xf numFmtId="0" fontId="1" fillId="0" borderId="0" xfId="0" applyFont="1" applyBorder="1" applyProtection="1"/>
    <xf numFmtId="0" fontId="6" fillId="0" borderId="0" xfId="0" applyFont="1" applyBorder="1" applyAlignment="1" applyProtection="1">
      <alignment vertical="top"/>
    </xf>
    <xf numFmtId="0" fontId="6" fillId="0" borderId="0" xfId="0" applyFont="1" applyBorder="1" applyProtection="1"/>
    <xf numFmtId="0" fontId="0" fillId="0" borderId="0" xfId="0" applyBorder="1" applyAlignment="1" applyProtection="1">
      <alignment vertical="top"/>
    </xf>
    <xf numFmtId="0" fontId="0" fillId="0" borderId="24" xfId="0" applyFont="1" applyBorder="1" applyAlignment="1" applyProtection="1">
      <alignment horizontal="center" vertical="top" wrapText="1"/>
    </xf>
    <xf numFmtId="0" fontId="0" fillId="0" borderId="20" xfId="0" applyBorder="1" applyProtection="1"/>
    <xf numFmtId="0" fontId="9" fillId="0" borderId="0" xfId="0" applyFont="1" applyBorder="1" applyProtection="1"/>
    <xf numFmtId="0" fontId="11" fillId="0" borderId="0" xfId="0" applyFont="1" applyBorder="1" applyProtection="1"/>
    <xf numFmtId="0" fontId="2" fillId="0" borderId="0" xfId="0" applyFont="1" applyBorder="1" applyProtection="1"/>
    <xf numFmtId="0" fontId="10" fillId="0" borderId="0" xfId="0" applyFont="1" applyBorder="1" applyProtection="1"/>
    <xf numFmtId="0" fontId="0" fillId="0" borderId="0" xfId="0" applyBorder="1" applyProtection="1"/>
    <xf numFmtId="0" fontId="6" fillId="0" borderId="34" xfId="0" applyFont="1" applyBorder="1" applyProtection="1"/>
    <xf numFmtId="0" fontId="6" fillId="0" borderId="35" xfId="0" applyFont="1" applyBorder="1" applyProtection="1"/>
    <xf numFmtId="0" fontId="6" fillId="0" borderId="36" xfId="0" applyFont="1" applyBorder="1" applyProtection="1"/>
    <xf numFmtId="0" fontId="0" fillId="0" borderId="7" xfId="0" applyBorder="1" applyAlignment="1" applyProtection="1">
      <alignment vertical="top"/>
    </xf>
    <xf numFmtId="0" fontId="0" fillId="0" borderId="8" xfId="0" applyBorder="1" applyAlignment="1" applyProtection="1">
      <alignment vertical="top"/>
    </xf>
    <xf numFmtId="0" fontId="0" fillId="0" borderId="9" xfId="0" applyBorder="1" applyAlignment="1" applyProtection="1">
      <alignment vertical="top"/>
    </xf>
    <xf numFmtId="0" fontId="0" fillId="0" borderId="25" xfId="0" applyFont="1" applyBorder="1" applyAlignment="1" applyProtection="1">
      <alignment horizontal="center" vertical="top" wrapText="1"/>
    </xf>
    <xf numFmtId="0" fontId="5" fillId="0" borderId="26" xfId="0" applyFont="1" applyBorder="1" applyAlignment="1" applyProtection="1">
      <alignment horizontal="center" vertical="top" wrapText="1"/>
    </xf>
    <xf numFmtId="0" fontId="5" fillId="0" borderId="27" xfId="0" applyFont="1" applyBorder="1" applyAlignment="1" applyProtection="1">
      <alignment horizontal="center" vertical="top" wrapText="1"/>
    </xf>
    <xf numFmtId="0" fontId="5" fillId="0" borderId="28" xfId="0" applyFont="1" applyBorder="1" applyAlignment="1" applyProtection="1">
      <alignment horizontal="center" vertical="top" wrapText="1"/>
    </xf>
    <xf numFmtId="0" fontId="0" fillId="0" borderId="0" xfId="0" applyAlignment="1" applyProtection="1">
      <alignment horizontal="left" vertical="top" wrapText="1"/>
    </xf>
    <xf numFmtId="0" fontId="0" fillId="0" borderId="22" xfId="0" applyBorder="1" applyAlignment="1" applyProtection="1">
      <alignment horizontal="left" vertical="top" wrapText="1"/>
    </xf>
    <xf numFmtId="0" fontId="0" fillId="0" borderId="31" xfId="0" applyBorder="1" applyAlignment="1" applyProtection="1">
      <alignment horizontal="left" vertical="top" wrapText="1"/>
    </xf>
    <xf numFmtId="0" fontId="0" fillId="0" borderId="9" xfId="0" applyBorder="1" applyAlignment="1" applyProtection="1">
      <alignment horizontal="left" vertical="top" wrapText="1"/>
    </xf>
    <xf numFmtId="0" fontId="7" fillId="0" borderId="34" xfId="0" applyFont="1" applyBorder="1" applyAlignment="1" applyProtection="1">
      <alignment vertical="top"/>
    </xf>
    <xf numFmtId="0" fontId="7" fillId="0" borderId="37" xfId="0" applyFont="1" applyBorder="1" applyAlignment="1" applyProtection="1">
      <alignment horizontal="right" vertical="center"/>
    </xf>
    <xf numFmtId="0" fontId="7" fillId="0" borderId="35" xfId="0" applyFont="1" applyBorder="1" applyAlignment="1" applyProtection="1">
      <alignment vertical="top"/>
    </xf>
    <xf numFmtId="0" fontId="7" fillId="0" borderId="36" xfId="0" applyFont="1" applyBorder="1" applyAlignment="1" applyProtection="1">
      <alignment horizontal="right" vertical="center"/>
    </xf>
    <xf numFmtId="0" fontId="0" fillId="0" borderId="0" xfId="0" applyAlignment="1" applyProtection="1">
      <alignment vertical="top"/>
    </xf>
    <xf numFmtId="0" fontId="5" fillId="0" borderId="9" xfId="0" applyFont="1" applyBorder="1" applyAlignment="1" applyProtection="1">
      <alignment horizontal="center" vertical="top"/>
    </xf>
    <xf numFmtId="0" fontId="9" fillId="0" borderId="21" xfId="0" applyFont="1" applyBorder="1" applyProtection="1">
      <protection locked="0"/>
    </xf>
    <xf numFmtId="0" fontId="0" fillId="0" borderId="0" xfId="0" applyProtection="1">
      <protection locked="0"/>
    </xf>
    <xf numFmtId="0" fontId="9" fillId="0" borderId="30" xfId="0" applyFont="1" applyBorder="1" applyAlignment="1" applyProtection="1">
      <alignment vertical="center"/>
      <protection locked="0"/>
    </xf>
    <xf numFmtId="0" fontId="9" fillId="0" borderId="32" xfId="0" applyFont="1" applyBorder="1" applyAlignment="1" applyProtection="1">
      <alignment vertical="center"/>
      <protection locked="0"/>
    </xf>
    <xf numFmtId="0" fontId="9" fillId="0" borderId="6" xfId="0" applyFont="1" applyBorder="1" applyProtection="1">
      <protection locked="0"/>
    </xf>
    <xf numFmtId="0" fontId="9" fillId="0" borderId="11" xfId="0" applyFont="1" applyBorder="1" applyProtection="1">
      <protection locked="0"/>
    </xf>
    <xf numFmtId="0" fontId="5" fillId="0" borderId="0" xfId="0" applyFont="1" applyAlignment="1" applyProtection="1">
      <alignment vertical="center"/>
    </xf>
    <xf numFmtId="0" fontId="0" fillId="0" borderId="1" xfId="0" applyFont="1" applyBorder="1" applyAlignment="1" applyProtection="1">
      <alignment horizontal="center" vertical="top" wrapText="1"/>
    </xf>
    <xf numFmtId="0" fontId="5" fillId="0" borderId="1" xfId="0" applyFont="1" applyBorder="1" applyAlignment="1" applyProtection="1">
      <alignment horizontal="center" vertical="top" wrapText="1"/>
    </xf>
    <xf numFmtId="0" fontId="9" fillId="0" borderId="6" xfId="0" applyFont="1" applyBorder="1" applyAlignment="1" applyProtection="1">
      <alignment vertical="center"/>
      <protection locked="0"/>
    </xf>
    <xf numFmtId="0" fontId="0" fillId="0" borderId="1" xfId="0" applyBorder="1" applyProtection="1"/>
    <xf numFmtId="0" fontId="4" fillId="0" borderId="1" xfId="0" applyFont="1" applyBorder="1" applyAlignment="1" applyProtection="1">
      <alignment horizontal="center" vertical="center" wrapText="1"/>
    </xf>
    <xf numFmtId="0" fontId="4" fillId="0" borderId="3" xfId="0" applyFont="1" applyBorder="1" applyAlignment="1" applyProtection="1">
      <alignment horizontal="center" vertical="center" wrapText="1"/>
    </xf>
    <xf numFmtId="0" fontId="4" fillId="0" borderId="0" xfId="0" applyFont="1" applyProtection="1"/>
    <xf numFmtId="0" fontId="9" fillId="0" borderId="1" xfId="0" applyFont="1" applyBorder="1" applyAlignment="1" applyProtection="1">
      <alignment horizontal="center" vertical="center" wrapText="1"/>
      <protection locked="0"/>
    </xf>
    <xf numFmtId="0" fontId="9" fillId="0" borderId="2" xfId="0" applyFont="1" applyBorder="1" applyProtection="1">
      <protection locked="0"/>
    </xf>
    <xf numFmtId="0" fontId="5" fillId="0" borderId="24" xfId="0" applyFont="1" applyBorder="1" applyAlignment="1" applyProtection="1">
      <alignment horizontal="center" vertical="top" wrapText="1"/>
    </xf>
    <xf numFmtId="0" fontId="5" fillId="0" borderId="36" xfId="0" applyFont="1" applyBorder="1" applyAlignment="1" applyProtection="1">
      <alignment horizontal="center" vertical="top" wrapText="1"/>
    </xf>
    <xf numFmtId="0" fontId="0" fillId="0" borderId="24" xfId="0" applyBorder="1" applyAlignment="1" applyProtection="1">
      <alignment horizontal="center" vertical="center" wrapText="1"/>
    </xf>
    <xf numFmtId="0" fontId="0" fillId="0" borderId="36" xfId="0" applyBorder="1" applyAlignment="1" applyProtection="1">
      <alignment horizontal="center" vertical="center" wrapText="1"/>
    </xf>
    <xf numFmtId="0" fontId="5" fillId="0" borderId="20" xfId="0" applyFont="1" applyBorder="1" applyProtection="1"/>
    <xf numFmtId="0" fontId="5" fillId="0" borderId="20" xfId="0" applyFont="1" applyBorder="1" applyAlignment="1" applyProtection="1">
      <alignment vertical="center"/>
    </xf>
    <xf numFmtId="0" fontId="9" fillId="0" borderId="11" xfId="0" applyFont="1" applyBorder="1" applyAlignment="1" applyProtection="1">
      <alignment vertical="center"/>
      <protection locked="0"/>
    </xf>
    <xf numFmtId="0" fontId="0" fillId="2" borderId="0" xfId="0" applyFill="1" applyProtection="1"/>
    <xf numFmtId="0" fontId="9" fillId="2" borderId="0" xfId="0" applyFont="1" applyFill="1" applyProtection="1">
      <protection locked="0"/>
    </xf>
    <xf numFmtId="0" fontId="0" fillId="3" borderId="0" xfId="0" applyFill="1" applyProtection="1"/>
    <xf numFmtId="0" fontId="9" fillId="3" borderId="0" xfId="0" applyFont="1" applyFill="1" applyProtection="1">
      <protection locked="0"/>
    </xf>
    <xf numFmtId="0" fontId="0" fillId="4" borderId="0" xfId="0" applyFill="1" applyProtection="1"/>
    <xf numFmtId="0" fontId="9" fillId="4" borderId="0" xfId="0" applyFont="1" applyFill="1" applyProtection="1">
      <protection locked="0"/>
    </xf>
    <xf numFmtId="0" fontId="0" fillId="5" borderId="0" xfId="0" applyFill="1" applyProtection="1"/>
    <xf numFmtId="0" fontId="9" fillId="5" borderId="0" xfId="0" applyFont="1" applyFill="1" applyProtection="1">
      <protection locked="0"/>
    </xf>
    <xf numFmtId="0" fontId="13" fillId="0" borderId="9" xfId="0" applyFont="1" applyBorder="1" applyAlignment="1" applyProtection="1">
      <alignment horizontal="center" vertical="center" wrapText="1"/>
    </xf>
    <xf numFmtId="0" fontId="13" fillId="0" borderId="31" xfId="0" applyFont="1" applyBorder="1" applyAlignment="1" applyProtection="1">
      <alignment horizontal="center" vertical="center" wrapText="1"/>
    </xf>
    <xf numFmtId="0" fontId="7" fillId="0" borderId="0" xfId="0" applyFont="1" applyAlignment="1" applyProtection="1">
      <alignment horizontal="right" vertical="center"/>
    </xf>
    <xf numFmtId="0" fontId="9" fillId="0" borderId="0" xfId="0" applyFont="1" applyBorder="1" applyAlignment="1" applyProtection="1">
      <alignment horizontal="right" vertical="center"/>
    </xf>
    <xf numFmtId="0" fontId="9" fillId="0" borderId="0" xfId="0" applyFont="1" applyAlignment="1" applyProtection="1">
      <alignment horizontal="left" vertical="center"/>
    </xf>
    <xf numFmtId="0" fontId="9" fillId="0" borderId="0" xfId="0" applyFont="1" applyProtection="1"/>
    <xf numFmtId="164" fontId="0" fillId="0" borderId="0" xfId="0" applyNumberFormat="1" applyProtection="1"/>
    <xf numFmtId="0" fontId="13" fillId="0" borderId="22" xfId="0" applyFont="1" applyBorder="1" applyAlignment="1" applyProtection="1">
      <alignment horizontal="center" vertical="center" wrapText="1"/>
    </xf>
    <xf numFmtId="0" fontId="0" fillId="0" borderId="0" xfId="0" applyAlignment="1" applyProtection="1">
      <alignment wrapText="1"/>
    </xf>
    <xf numFmtId="0" fontId="13" fillId="0" borderId="30" xfId="0" applyFont="1" applyBorder="1" applyAlignment="1" applyProtection="1">
      <alignment horizontal="center" vertical="center"/>
    </xf>
    <xf numFmtId="0" fontId="13" fillId="0" borderId="29" xfId="0" applyFont="1" applyBorder="1" applyAlignment="1" applyProtection="1">
      <alignment horizontal="center" vertical="center"/>
    </xf>
    <xf numFmtId="0" fontId="13" fillId="0" borderId="32" xfId="0" applyFont="1" applyBorder="1" applyAlignment="1" applyProtection="1">
      <alignment horizontal="center" vertical="center"/>
    </xf>
    <xf numFmtId="0" fontId="5" fillId="0" borderId="20" xfId="0" applyFont="1" applyBorder="1" applyAlignment="1" applyProtection="1">
      <alignment horizontal="right" vertical="center"/>
    </xf>
    <xf numFmtId="0" fontId="5" fillId="0" borderId="0" xfId="0" applyFont="1" applyBorder="1" applyAlignment="1" applyProtection="1">
      <alignment horizontal="right" vertical="center"/>
    </xf>
    <xf numFmtId="0" fontId="9" fillId="0" borderId="0" xfId="0" applyFont="1" applyProtection="1">
      <protection locked="0"/>
    </xf>
    <xf numFmtId="0" fontId="5" fillId="0" borderId="30" xfId="0" applyFont="1" applyBorder="1" applyAlignment="1" applyProtection="1">
      <alignment horizontal="right" vertical="center"/>
    </xf>
    <xf numFmtId="0" fontId="1" fillId="6" borderId="0" xfId="0" applyFont="1" applyFill="1"/>
    <xf numFmtId="0" fontId="0" fillId="6" borderId="0" xfId="0" applyFill="1"/>
    <xf numFmtId="0" fontId="7" fillId="0" borderId="0" xfId="0" applyFont="1" applyAlignment="1">
      <alignment vertical="center"/>
    </xf>
    <xf numFmtId="0" fontId="0" fillId="6" borderId="0" xfId="0" applyFill="1" applyProtection="1">
      <protection locked="0"/>
    </xf>
    <xf numFmtId="0" fontId="0" fillId="7" borderId="0" xfId="0" applyFill="1"/>
    <xf numFmtId="0" fontId="1" fillId="7" borderId="0" xfId="0" applyFont="1" applyFill="1" applyAlignment="1" applyProtection="1">
      <alignment vertical="center"/>
    </xf>
    <xf numFmtId="0" fontId="0" fillId="7" borderId="0" xfId="0" applyFill="1" applyProtection="1"/>
    <xf numFmtId="0" fontId="6" fillId="7" borderId="0" xfId="0" applyFont="1" applyFill="1" applyProtection="1"/>
    <xf numFmtId="0" fontId="6" fillId="7" borderId="0" xfId="0" applyFont="1" applyFill="1" applyAlignment="1" applyProtection="1">
      <alignment horizontal="left"/>
    </xf>
    <xf numFmtId="0" fontId="9" fillId="0" borderId="0" xfId="1" applyFont="1" applyAlignment="1" applyProtection="1">
      <alignment vertical="center"/>
    </xf>
    <xf numFmtId="0" fontId="0" fillId="8" borderId="0" xfId="0" applyFill="1" applyProtection="1"/>
    <xf numFmtId="0" fontId="9" fillId="8" borderId="0" xfId="0" applyFont="1" applyFill="1" applyProtection="1">
      <protection locked="0"/>
    </xf>
    <xf numFmtId="0" fontId="9" fillId="0" borderId="41" xfId="0" applyFont="1" applyBorder="1" applyAlignment="1" applyProtection="1">
      <alignment horizontal="center" vertical="center"/>
      <protection locked="0"/>
    </xf>
    <xf numFmtId="0" fontId="9" fillId="0" borderId="42" xfId="0" applyFont="1" applyBorder="1" applyAlignment="1" applyProtection="1">
      <alignment horizontal="center" vertical="center"/>
      <protection locked="0"/>
    </xf>
    <xf numFmtId="0" fontId="1" fillId="9" borderId="0" xfId="0" applyFont="1" applyFill="1" applyProtection="1"/>
    <xf numFmtId="0" fontId="0" fillId="9" borderId="0" xfId="0" applyFill="1" applyProtection="1"/>
    <xf numFmtId="0" fontId="7" fillId="0" borderId="0" xfId="1" applyFont="1" applyAlignment="1" applyProtection="1">
      <alignment vertical="center"/>
    </xf>
    <xf numFmtId="0" fontId="9" fillId="0" borderId="20" xfId="0" applyNumberFormat="1" applyFont="1" applyBorder="1" applyAlignment="1" applyProtection="1">
      <alignment vertical="center"/>
      <protection locked="0"/>
    </xf>
    <xf numFmtId="0" fontId="9" fillId="0" borderId="0" xfId="0" applyFont="1" applyBorder="1" applyAlignment="1" applyProtection="1">
      <alignment vertical="center"/>
      <protection locked="0"/>
    </xf>
    <xf numFmtId="0" fontId="9" fillId="0" borderId="0" xfId="0" applyFont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14" fillId="0" borderId="0" xfId="0" applyFont="1" applyAlignment="1" applyProtection="1">
      <alignment horizontal="left" vertical="center"/>
    </xf>
    <xf numFmtId="0" fontId="4" fillId="0" borderId="38" xfId="0" applyFont="1" applyBorder="1" applyAlignment="1" applyProtection="1">
      <alignment horizontal="center" vertical="center"/>
    </xf>
    <xf numFmtId="0" fontId="4" fillId="0" borderId="39" xfId="0" applyFont="1" applyBorder="1" applyAlignment="1" applyProtection="1">
      <alignment horizontal="center" vertical="center"/>
    </xf>
    <xf numFmtId="0" fontId="4" fillId="0" borderId="39" xfId="0" applyFont="1" applyBorder="1" applyAlignment="1" applyProtection="1">
      <alignment horizontal="center" vertical="center" wrapText="1"/>
    </xf>
    <xf numFmtId="0" fontId="4" fillId="0" borderId="26" xfId="0" applyFont="1" applyBorder="1" applyAlignment="1" applyProtection="1">
      <alignment horizontal="center" vertical="center" wrapText="1"/>
    </xf>
    <xf numFmtId="0" fontId="4" fillId="0" borderId="41" xfId="0" applyFont="1" applyBorder="1" applyAlignment="1" applyProtection="1">
      <alignment horizontal="center" vertical="center" wrapText="1"/>
    </xf>
    <xf numFmtId="0" fontId="4" fillId="0" borderId="41" xfId="0" applyFont="1" applyBorder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4" fillId="0" borderId="40" xfId="0" applyFont="1" applyBorder="1" applyAlignment="1" applyProtection="1">
      <alignment horizontal="center" vertical="center" wrapText="1"/>
    </xf>
    <xf numFmtId="2" fontId="9" fillId="0" borderId="0" xfId="0" applyNumberFormat="1" applyFont="1" applyAlignment="1" applyProtection="1">
      <alignment horizontal="right" vertical="center"/>
      <protection locked="0"/>
    </xf>
    <xf numFmtId="2" fontId="7" fillId="0" borderId="0" xfId="0" applyNumberFormat="1" applyFont="1" applyAlignment="1" applyProtection="1">
      <alignment vertical="center"/>
    </xf>
    <xf numFmtId="165" fontId="9" fillId="0" borderId="0" xfId="0" applyNumberFormat="1" applyFont="1" applyAlignment="1" applyProtection="1">
      <alignment horizontal="right" vertical="center"/>
      <protection locked="0"/>
    </xf>
    <xf numFmtId="165" fontId="7" fillId="0" borderId="0" xfId="0" applyNumberFormat="1" applyFont="1" applyAlignment="1" applyProtection="1">
      <alignment vertical="center"/>
    </xf>
    <xf numFmtId="2" fontId="9" fillId="0" borderId="10" xfId="0" applyNumberFormat="1" applyFont="1" applyBorder="1" applyAlignment="1" applyProtection="1">
      <alignment horizontal="right" vertical="center"/>
      <protection locked="0"/>
    </xf>
    <xf numFmtId="2" fontId="9" fillId="0" borderId="0" xfId="0" applyNumberFormat="1" applyFont="1" applyBorder="1" applyAlignment="1" applyProtection="1">
      <alignment horizontal="right" vertical="center"/>
      <protection locked="0"/>
    </xf>
    <xf numFmtId="2" fontId="9" fillId="0" borderId="2" xfId="0" applyNumberFormat="1" applyFont="1" applyBorder="1" applyAlignment="1" applyProtection="1">
      <alignment horizontal="right" vertical="center"/>
      <protection locked="0"/>
    </xf>
    <xf numFmtId="166" fontId="9" fillId="0" borderId="2" xfId="0" applyNumberFormat="1" applyFont="1" applyBorder="1" applyAlignment="1" applyProtection="1">
      <alignment horizontal="right" vertical="center"/>
      <protection locked="0"/>
    </xf>
    <xf numFmtId="2" fontId="9" fillId="0" borderId="16" xfId="0" applyNumberFormat="1" applyFont="1" applyBorder="1" applyAlignment="1" applyProtection="1">
      <alignment horizontal="right" vertical="center"/>
      <protection locked="0"/>
    </xf>
    <xf numFmtId="2" fontId="9" fillId="0" borderId="11" xfId="0" applyNumberFormat="1" applyFont="1" applyBorder="1" applyAlignment="1" applyProtection="1">
      <alignment horizontal="right" vertical="center"/>
      <protection locked="0"/>
    </xf>
    <xf numFmtId="165" fontId="9" fillId="0" borderId="11" xfId="0" applyNumberFormat="1" applyFont="1" applyBorder="1" applyAlignment="1" applyProtection="1">
      <alignment horizontal="right" vertical="center"/>
      <protection locked="0"/>
    </xf>
    <xf numFmtId="2" fontId="9" fillId="0" borderId="0" xfId="0" applyNumberFormat="1" applyFont="1" applyAlignment="1" applyProtection="1">
      <alignment vertical="center"/>
      <protection locked="0"/>
    </xf>
    <xf numFmtId="2" fontId="11" fillId="0" borderId="20" xfId="0" applyNumberFormat="1" applyFont="1" applyBorder="1" applyProtection="1">
      <protection locked="0"/>
    </xf>
    <xf numFmtId="2" fontId="11" fillId="0" borderId="2" xfId="0" applyNumberFormat="1" applyFont="1" applyBorder="1" applyProtection="1">
      <protection locked="0"/>
    </xf>
    <xf numFmtId="165" fontId="11" fillId="0" borderId="11" xfId="0" applyNumberFormat="1" applyFont="1" applyBorder="1" applyProtection="1">
      <protection locked="0"/>
    </xf>
    <xf numFmtId="2" fontId="9" fillId="0" borderId="20" xfId="0" applyNumberFormat="1" applyFont="1" applyBorder="1" applyProtection="1">
      <protection locked="0"/>
    </xf>
    <xf numFmtId="2" fontId="9" fillId="0" borderId="6" xfId="0" applyNumberFormat="1" applyFont="1" applyBorder="1" applyProtection="1">
      <protection locked="0"/>
    </xf>
    <xf numFmtId="166" fontId="9" fillId="0" borderId="11" xfId="0" applyNumberFormat="1" applyFont="1" applyBorder="1" applyProtection="1">
      <protection locked="0"/>
    </xf>
    <xf numFmtId="166" fontId="9" fillId="0" borderId="0" xfId="0" applyNumberFormat="1" applyFont="1" applyAlignment="1" applyProtection="1">
      <alignment vertical="center"/>
      <protection locked="0"/>
    </xf>
    <xf numFmtId="166" fontId="9" fillId="0" borderId="2" xfId="0" applyNumberFormat="1" applyFont="1" applyBorder="1" applyProtection="1">
      <protection locked="0"/>
    </xf>
    <xf numFmtId="2" fontId="9" fillId="0" borderId="2" xfId="0" applyNumberFormat="1" applyFont="1" applyBorder="1" applyProtection="1">
      <protection locked="0"/>
    </xf>
    <xf numFmtId="166" fontId="9" fillId="0" borderId="20" xfId="0" applyNumberFormat="1" applyFont="1" applyBorder="1" applyProtection="1">
      <protection locked="0"/>
    </xf>
    <xf numFmtId="166" fontId="9" fillId="0" borderId="20" xfId="0" applyNumberFormat="1" applyFont="1" applyBorder="1" applyAlignment="1" applyProtection="1">
      <alignment vertical="center"/>
      <protection locked="0"/>
    </xf>
    <xf numFmtId="165" fontId="9" fillId="0" borderId="11" xfId="0" applyNumberFormat="1" applyFont="1" applyBorder="1" applyProtection="1">
      <protection locked="0"/>
    </xf>
    <xf numFmtId="165" fontId="9" fillId="0" borderId="11" xfId="0" applyNumberFormat="1" applyFont="1" applyBorder="1" applyAlignment="1" applyProtection="1">
      <alignment vertical="center"/>
      <protection locked="0"/>
    </xf>
    <xf numFmtId="2" fontId="9" fillId="0" borderId="20" xfId="0" applyNumberFormat="1" applyFont="1" applyBorder="1" applyAlignment="1" applyProtection="1">
      <alignment horizontal="right" vertical="center"/>
      <protection locked="0"/>
    </xf>
    <xf numFmtId="2" fontId="9" fillId="0" borderId="6" xfId="0" applyNumberFormat="1" applyFont="1" applyBorder="1" applyAlignment="1" applyProtection="1">
      <alignment horizontal="right" vertical="center"/>
      <protection locked="0"/>
    </xf>
    <xf numFmtId="2" fontId="9" fillId="0" borderId="30" xfId="0" applyNumberFormat="1" applyFont="1" applyBorder="1" applyAlignment="1" applyProtection="1">
      <alignment horizontal="right" vertical="center"/>
      <protection locked="0"/>
    </xf>
    <xf numFmtId="2" fontId="9" fillId="0" borderId="32" xfId="0" applyNumberFormat="1" applyFont="1" applyBorder="1" applyAlignment="1" applyProtection="1">
      <alignment horizontal="right" vertical="center"/>
      <protection locked="0"/>
    </xf>
    <xf numFmtId="2" fontId="9" fillId="0" borderId="29" xfId="0" applyNumberFormat="1" applyFont="1" applyBorder="1" applyAlignment="1" applyProtection="1">
      <alignment horizontal="right" vertical="center"/>
      <protection locked="0"/>
    </xf>
    <xf numFmtId="165" fontId="9" fillId="0" borderId="20" xfId="0" applyNumberFormat="1" applyFont="1" applyBorder="1" applyAlignment="1" applyProtection="1">
      <alignment horizontal="right" vertical="center"/>
      <protection locked="0"/>
    </xf>
    <xf numFmtId="165" fontId="9" fillId="0" borderId="6" xfId="0" applyNumberFormat="1" applyFont="1" applyBorder="1" applyAlignment="1" applyProtection="1">
      <alignment horizontal="right" vertical="center"/>
      <protection locked="0"/>
    </xf>
    <xf numFmtId="165" fontId="9" fillId="0" borderId="29" xfId="0" applyNumberFormat="1" applyFont="1" applyBorder="1" applyAlignment="1" applyProtection="1">
      <alignment horizontal="right" vertical="center"/>
      <protection locked="0"/>
    </xf>
    <xf numFmtId="165" fontId="9" fillId="0" borderId="30" xfId="0" applyNumberFormat="1" applyFont="1" applyBorder="1" applyAlignment="1" applyProtection="1">
      <alignment horizontal="right" vertical="center"/>
      <protection locked="0"/>
    </xf>
    <xf numFmtId="165" fontId="9" fillId="0" borderId="32" xfId="0" applyNumberFormat="1" applyFont="1" applyBorder="1" applyAlignment="1" applyProtection="1">
      <alignment horizontal="right" vertical="center"/>
      <protection locked="0"/>
    </xf>
    <xf numFmtId="165" fontId="9" fillId="0" borderId="6" xfId="0" applyNumberFormat="1" applyFont="1" applyBorder="1" applyAlignment="1" applyProtection="1">
      <alignment vertical="center"/>
      <protection locked="0"/>
    </xf>
    <xf numFmtId="166" fontId="9" fillId="0" borderId="6" xfId="0" applyNumberFormat="1" applyFont="1" applyBorder="1" applyAlignment="1" applyProtection="1">
      <alignment vertical="center"/>
      <protection locked="0"/>
    </xf>
    <xf numFmtId="166" fontId="9" fillId="0" borderId="21" xfId="0" applyNumberFormat="1" applyFont="1" applyBorder="1" applyAlignment="1" applyProtection="1">
      <alignment vertical="center"/>
      <protection locked="0"/>
    </xf>
    <xf numFmtId="0" fontId="6" fillId="0" borderId="0" xfId="0" applyFont="1" applyBorder="1" applyAlignment="1" applyProtection="1">
      <alignment horizontal="left" vertical="center"/>
    </xf>
    <xf numFmtId="165" fontId="9" fillId="0" borderId="0" xfId="0" applyNumberFormat="1" applyFont="1" applyAlignment="1" applyProtection="1">
      <alignment vertical="center"/>
    </xf>
    <xf numFmtId="0" fontId="9" fillId="0" borderId="0" xfId="0" applyNumberFormat="1" applyFont="1" applyAlignment="1" applyProtection="1">
      <alignment horizontal="right" vertical="center"/>
      <protection locked="0"/>
    </xf>
    <xf numFmtId="0" fontId="9" fillId="0" borderId="0" xfId="0" applyNumberFormat="1" applyFont="1" applyAlignment="1" applyProtection="1">
      <alignment vertical="center"/>
    </xf>
    <xf numFmtId="0" fontId="9" fillId="0" borderId="0" xfId="0" applyNumberFormat="1" applyFont="1" applyAlignment="1" applyProtection="1">
      <alignment vertical="center"/>
      <protection locked="0"/>
    </xf>
    <xf numFmtId="2" fontId="9" fillId="0" borderId="4" xfId="0" applyNumberFormat="1" applyFont="1" applyBorder="1" applyAlignment="1" applyProtection="1">
      <alignment horizontal="right" vertical="center"/>
      <protection locked="0"/>
    </xf>
    <xf numFmtId="166" fontId="9" fillId="0" borderId="0" xfId="0" applyNumberFormat="1" applyFont="1" applyBorder="1" applyAlignment="1" applyProtection="1">
      <alignment horizontal="right" vertical="center"/>
      <protection locked="0"/>
    </xf>
    <xf numFmtId="0" fontId="7" fillId="0" borderId="4" xfId="0" applyFont="1" applyBorder="1" applyAlignment="1" applyProtection="1">
      <alignment vertical="center"/>
    </xf>
    <xf numFmtId="165" fontId="7" fillId="0" borderId="0" xfId="0" applyNumberFormat="1" applyFont="1" applyBorder="1" applyAlignment="1" applyProtection="1">
      <alignment vertical="center"/>
    </xf>
    <xf numFmtId="0" fontId="0" fillId="0" borderId="10" xfId="0" applyFont="1" applyBorder="1" applyAlignment="1" applyProtection="1">
      <alignment vertical="center"/>
    </xf>
    <xf numFmtId="0" fontId="7" fillId="0" borderId="18" xfId="0" applyFont="1" applyBorder="1" applyAlignment="1" applyProtection="1">
      <alignment horizontal="right" vertical="center"/>
    </xf>
    <xf numFmtId="49" fontId="12" fillId="0" borderId="0" xfId="0" applyNumberFormat="1" applyFont="1"/>
    <xf numFmtId="165" fontId="7" fillId="0" borderId="4" xfId="0" applyNumberFormat="1" applyFont="1" applyBorder="1" applyAlignment="1" applyProtection="1">
      <alignment vertical="center"/>
    </xf>
    <xf numFmtId="0" fontId="9" fillId="0" borderId="1" xfId="0" applyFont="1" applyBorder="1" applyAlignment="1" applyProtection="1">
      <alignment vertical="center"/>
      <protection locked="0"/>
    </xf>
    <xf numFmtId="0" fontId="6" fillId="7" borderId="0" xfId="0" applyFont="1" applyFill="1" applyAlignment="1" applyProtection="1">
      <alignment horizontal="left"/>
    </xf>
    <xf numFmtId="0" fontId="11" fillId="9" borderId="0" xfId="0" applyFont="1" applyFill="1" applyAlignment="1" applyProtection="1">
      <alignment horizontal="left"/>
    </xf>
    <xf numFmtId="0" fontId="8" fillId="9" borderId="0" xfId="0" applyFont="1" applyFill="1" applyAlignment="1" applyProtection="1">
      <alignment horizontal="left"/>
    </xf>
    <xf numFmtId="0" fontId="9" fillId="9" borderId="0" xfId="0" applyFont="1" applyFill="1" applyAlignment="1" applyProtection="1">
      <alignment horizontal="left"/>
    </xf>
    <xf numFmtId="0" fontId="5" fillId="9" borderId="0" xfId="0" applyFont="1" applyFill="1" applyAlignment="1" applyProtection="1">
      <alignment horizontal="left"/>
    </xf>
    <xf numFmtId="0" fontId="6" fillId="9" borderId="0" xfId="0" applyFont="1" applyFill="1" applyAlignment="1" applyProtection="1">
      <alignment horizontal="left"/>
    </xf>
    <xf numFmtId="0" fontId="1" fillId="0" borderId="7" xfId="0" applyFont="1" applyBorder="1" applyAlignment="1" applyProtection="1">
      <alignment horizontal="left" vertical="center"/>
    </xf>
    <xf numFmtId="0" fontId="1" fillId="0" borderId="8" xfId="0" applyFont="1" applyBorder="1" applyAlignment="1" applyProtection="1">
      <alignment horizontal="left" vertical="center"/>
    </xf>
    <xf numFmtId="0" fontId="1" fillId="0" borderId="9" xfId="0" applyFont="1" applyBorder="1" applyAlignment="1" applyProtection="1">
      <alignment horizontal="left" vertical="center"/>
    </xf>
    <xf numFmtId="0" fontId="6" fillId="0" borderId="10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horizontal="left" vertical="center"/>
    </xf>
    <xf numFmtId="0" fontId="6" fillId="0" borderId="11" xfId="0" applyFont="1" applyBorder="1" applyAlignment="1" applyProtection="1">
      <alignment horizontal="left" vertical="center"/>
    </xf>
    <xf numFmtId="0" fontId="7" fillId="0" borderId="17" xfId="0" applyFont="1" applyBorder="1" applyAlignment="1" applyProtection="1">
      <alignment horizontal="center" vertical="center"/>
    </xf>
    <xf numFmtId="0" fontId="7" fillId="0" borderId="33" xfId="0" applyFont="1" applyBorder="1" applyAlignment="1" applyProtection="1">
      <alignment horizontal="center" vertical="center"/>
    </xf>
    <xf numFmtId="0" fontId="7" fillId="0" borderId="18" xfId="0" applyFont="1" applyBorder="1" applyAlignment="1" applyProtection="1">
      <alignment horizontal="center" vertical="center"/>
    </xf>
    <xf numFmtId="0" fontId="7" fillId="0" borderId="4" xfId="0" applyFont="1" applyBorder="1" applyAlignment="1" applyProtection="1">
      <alignment horizontal="center" vertical="center"/>
    </xf>
  </cellXfs>
  <cellStyles count="3">
    <cellStyle name="Normal" xfId="0" builtinId="0"/>
    <cellStyle name="Normal 10" xfId="2" xr:uid="{00000000-0005-0000-0000-000001000000}"/>
    <cellStyle name="Normal 2 2" xfId="1" xr:uid="{00000000-0005-0000-0000-000002000000}"/>
  </cellStyles>
  <dxfs count="0"/>
  <tableStyles count="0" defaultTableStyle="TableStyleMedium2" defaultPivotStyle="PivotStyleMedium9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733425</xdr:colOff>
      <xdr:row>8</xdr:row>
      <xdr:rowOff>28575</xdr:rowOff>
    </xdr:from>
    <xdr:to>
      <xdr:col>2</xdr:col>
      <xdr:colOff>2562225</xdr:colOff>
      <xdr:row>10</xdr:row>
      <xdr:rowOff>104775</xdr:rowOff>
    </xdr:to>
    <xdr:sp macro="[0]!Input_Sheets_Setup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3143250" y="1743075"/>
          <a:ext cx="1828800" cy="45720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Update</a:t>
          </a:r>
          <a:r>
            <a:rPr lang="en-US" sz="1100" baseline="0"/>
            <a:t> Sheets to be Populated</a:t>
          </a:r>
        </a:p>
      </xdr:txBody>
    </xdr:sp>
    <xdr:clientData/>
  </xdr:twoCellAnchor>
  <xdr:twoCellAnchor>
    <xdr:from>
      <xdr:col>0</xdr:col>
      <xdr:colOff>161925</xdr:colOff>
      <xdr:row>1</xdr:row>
      <xdr:rowOff>57150</xdr:rowOff>
    </xdr:from>
    <xdr:to>
      <xdr:col>1</xdr:col>
      <xdr:colOff>152400</xdr:colOff>
      <xdr:row>2</xdr:row>
      <xdr:rowOff>140970</xdr:rowOff>
    </xdr:to>
    <xdr:sp macro="[0]!select_input_file" textlink="">
      <xdr:nvSpPr>
        <xdr:cNvPr id="5" name="TextBox 4">
          <a:extLst>
            <a:ext uri="{FF2B5EF4-FFF2-40B4-BE49-F238E27FC236}">
              <a16:creationId xmlns:a16="http://schemas.microsoft.com/office/drawing/2014/main" id="{A90B6A99-AAE9-4CAD-ADC6-78588908039E}"/>
            </a:ext>
          </a:extLst>
        </xdr:cNvPr>
        <xdr:cNvSpPr txBox="1"/>
      </xdr:nvSpPr>
      <xdr:spPr>
        <a:xfrm>
          <a:off x="161925" y="247650"/>
          <a:ext cx="1828800" cy="27432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Select File and Import Inputs</a:t>
          </a:r>
          <a:endParaRPr lang="en-US" sz="11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44</xdr:row>
      <xdr:rowOff>66675</xdr:rowOff>
    </xdr:from>
    <xdr:to>
      <xdr:col>1</xdr:col>
      <xdr:colOff>819150</xdr:colOff>
      <xdr:row>47</xdr:row>
      <xdr:rowOff>180975</xdr:rowOff>
    </xdr:to>
    <xdr:sp macro="[0]!FAVLoad_Transient_Setup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219075" y="8067675"/>
          <a:ext cx="3657600" cy="685800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100"/>
            <a:t>After entering number of transients,</a:t>
          </a:r>
          <a:r>
            <a:rPr lang="en-US" sz="1100" baseline="0"/>
            <a:t> c</a:t>
          </a:r>
          <a:r>
            <a:rPr lang="en-US" sz="1100"/>
            <a:t>lick here to update </a:t>
          </a:r>
          <a:r>
            <a:rPr lang="en-US" sz="1100" baseline="0"/>
            <a:t>'1.3-FAVLoad Transients' sheet</a:t>
          </a:r>
        </a:p>
        <a:p>
          <a:pPr algn="ctr"/>
          <a:r>
            <a:rPr lang="en-US" sz="1100" b="1" baseline="0"/>
            <a:t>WARNING: all previously entred data will be cleared!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0</xdr:colOff>
      <xdr:row>3</xdr:row>
      <xdr:rowOff>76200</xdr:rowOff>
    </xdr:to>
    <xdr:sp macro="[0]!Write_FAVLoad_Inpu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7315200" y="190500"/>
          <a:ext cx="1828800" cy="457200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Write</a:t>
          </a:r>
          <a:r>
            <a:rPr lang="en-US" sz="1100" baseline="0"/>
            <a:t> FAVLoad Input</a:t>
          </a:r>
          <a:endParaRPr lang="en-US" sz="1100"/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4</xdr:col>
      <xdr:colOff>0</xdr:colOff>
      <xdr:row>6</xdr:row>
      <xdr:rowOff>76200</xdr:rowOff>
    </xdr:to>
    <xdr:sp macro="[0]!Export_FAVLoad_Input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7315200" y="762000"/>
          <a:ext cx="1828800" cy="457200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Export </a:t>
          </a:r>
          <a:r>
            <a:rPr lang="en-US" sz="1100" baseline="0"/>
            <a:t>FAVLoad Input to Text File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9</xdr:row>
      <xdr:rowOff>114300</xdr:rowOff>
    </xdr:from>
    <xdr:to>
      <xdr:col>1</xdr:col>
      <xdr:colOff>581025</xdr:colOff>
      <xdr:row>11</xdr:row>
      <xdr:rowOff>7620</xdr:rowOff>
    </xdr:to>
    <xdr:sp macro="[0]!Update_Embrittlement_Table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200025" y="1828800"/>
          <a:ext cx="2286000" cy="274320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Update Embrittlement</a:t>
          </a:r>
          <a:r>
            <a:rPr lang="en-US" sz="1100" baseline="0"/>
            <a:t> Map Table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0</xdr:colOff>
      <xdr:row>3</xdr:row>
      <xdr:rowOff>76200</xdr:rowOff>
    </xdr:to>
    <xdr:sp macro="[0]!Write_FAVPFM_Input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9477375" y="190500"/>
          <a:ext cx="1828800" cy="457200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Write</a:t>
          </a:r>
          <a:r>
            <a:rPr lang="en-US" sz="1100" baseline="0"/>
            <a:t> FAVPFM Input</a:t>
          </a:r>
          <a:endParaRPr lang="en-US" sz="1100"/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4</xdr:col>
      <xdr:colOff>0</xdr:colOff>
      <xdr:row>6</xdr:row>
      <xdr:rowOff>76200</xdr:rowOff>
    </xdr:to>
    <xdr:sp macro="[0]!Export_FAVPFM_Inpu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9477375" y="762000"/>
          <a:ext cx="1828800" cy="457200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Export </a:t>
          </a:r>
          <a:r>
            <a:rPr lang="en-US" sz="1100" baseline="0"/>
            <a:t>FAVPFM Input to Text File</a:t>
          </a:r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7</xdr:row>
      <xdr:rowOff>47624</xdr:rowOff>
    </xdr:from>
    <xdr:to>
      <xdr:col>2</xdr:col>
      <xdr:colOff>323850</xdr:colOff>
      <xdr:row>10</xdr:row>
      <xdr:rowOff>97154</xdr:rowOff>
    </xdr:to>
    <xdr:sp macro="[0]!FAVPost_Transient_Setup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52400" y="1381124"/>
          <a:ext cx="3657600" cy="640080"/>
        </a:xfrm>
        <a:prstGeom prst="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100"/>
            <a:t>After entering number of transients,</a:t>
          </a:r>
          <a:r>
            <a:rPr lang="en-US" sz="1100" baseline="0"/>
            <a:t> c</a:t>
          </a:r>
          <a:r>
            <a:rPr lang="en-US" sz="1100"/>
            <a:t>lick here to update </a:t>
          </a:r>
          <a:r>
            <a:rPr lang="en-US" sz="1100" baseline="0"/>
            <a:t>'1.3-FAVLoad Transients' sheet</a:t>
          </a:r>
        </a:p>
        <a:p>
          <a:pPr algn="ctr"/>
          <a:r>
            <a:rPr lang="en-US" sz="1100" b="1" baseline="0"/>
            <a:t>WARNING: all previously entred data will be cleared!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0</xdr:colOff>
      <xdr:row>3</xdr:row>
      <xdr:rowOff>76200</xdr:rowOff>
    </xdr:to>
    <xdr:sp macro="[0]!Write_FAVPost_Input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609600" y="190500"/>
          <a:ext cx="1828800" cy="457200"/>
        </a:xfrm>
        <a:prstGeom prst="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Write</a:t>
          </a:r>
          <a:r>
            <a:rPr lang="en-US" sz="1100" baseline="0"/>
            <a:t> FAVPost Input</a:t>
          </a:r>
          <a:endParaRPr lang="en-US" sz="1100"/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4</xdr:col>
      <xdr:colOff>0</xdr:colOff>
      <xdr:row>6</xdr:row>
      <xdr:rowOff>76200</xdr:rowOff>
    </xdr:to>
    <xdr:sp macro="[0]!Export_FAVPost_Inpu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609600" y="762000"/>
          <a:ext cx="1828800" cy="457200"/>
        </a:xfrm>
        <a:prstGeom prst="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Export </a:t>
          </a:r>
          <a:r>
            <a:rPr lang="en-US" sz="1100" baseline="0"/>
            <a:t>FAVPost Input to Text File</a:t>
          </a:r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371475</xdr:colOff>
      <xdr:row>1</xdr:row>
      <xdr:rowOff>57150</xdr:rowOff>
    </xdr:from>
    <xdr:to>
      <xdr:col>4</xdr:col>
      <xdr:colOff>390525</xdr:colOff>
      <xdr:row>3</xdr:row>
      <xdr:rowOff>133350</xdr:rowOff>
    </xdr:to>
    <xdr:sp macro="[0]!Write_VFLAW_SURF_Inpu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6448425" y="247650"/>
          <a:ext cx="1828800" cy="457200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Write and Export</a:t>
          </a:r>
          <a:r>
            <a:rPr lang="en-US" sz="1100" baseline="0"/>
            <a:t> VFLAW Surface Flaw Input</a:t>
          </a:r>
          <a:endParaRPr 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371475</xdr:colOff>
      <xdr:row>1</xdr:row>
      <xdr:rowOff>57150</xdr:rowOff>
    </xdr:from>
    <xdr:to>
      <xdr:col>4</xdr:col>
      <xdr:colOff>390525</xdr:colOff>
      <xdr:row>3</xdr:row>
      <xdr:rowOff>133350</xdr:rowOff>
    </xdr:to>
    <xdr:sp macro="[0]!Write_VFLAW_WELD_Input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6448425" y="247650"/>
          <a:ext cx="1828800" cy="457200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Write and Export</a:t>
          </a:r>
          <a:r>
            <a:rPr lang="en-US" sz="1100" baseline="0"/>
            <a:t> VFLAW Weld Flaw Input</a:t>
          </a:r>
          <a:endParaRPr 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371475</xdr:colOff>
      <xdr:row>1</xdr:row>
      <xdr:rowOff>57150</xdr:rowOff>
    </xdr:from>
    <xdr:to>
      <xdr:col>4</xdr:col>
      <xdr:colOff>390525</xdr:colOff>
      <xdr:row>3</xdr:row>
      <xdr:rowOff>133350</xdr:rowOff>
    </xdr:to>
    <xdr:sp macro="[0]!Write_VFLAW_PLATE_Input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6448425" y="247650"/>
          <a:ext cx="1828800" cy="457200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Write and Export</a:t>
          </a:r>
          <a:r>
            <a:rPr lang="en-US" sz="1100" baseline="0"/>
            <a:t> VFLAW Plate Flaw Input</a:t>
          </a:r>
          <a:endParaRPr 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704849</xdr:colOff>
      <xdr:row>7</xdr:row>
      <xdr:rowOff>161925</xdr:rowOff>
    </xdr:from>
    <xdr:to>
      <xdr:col>1</xdr:col>
      <xdr:colOff>866774</xdr:colOff>
      <xdr:row>9</xdr:row>
      <xdr:rowOff>36195</xdr:rowOff>
    </xdr:to>
    <xdr:sp macro="[0]!AFF_Resize" textlink="">
      <xdr:nvSpPr>
        <xdr:cNvPr id="3" name="TextBox 2">
          <a:extLst>
            <a:ext uri="{FF2B5EF4-FFF2-40B4-BE49-F238E27FC236}">
              <a16:creationId xmlns:a16="http://schemas.microsoft.com/office/drawing/2014/main" id="{BC6D0F40-8E86-4D12-ACD7-23828DAFE7BE}"/>
            </a:ext>
          </a:extLst>
        </xdr:cNvPr>
        <xdr:cNvSpPr txBox="1"/>
      </xdr:nvSpPr>
      <xdr:spPr>
        <a:xfrm>
          <a:off x="704849" y="1562100"/>
          <a:ext cx="1828800" cy="274320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aseline="0"/>
            <a:t>Resize AFF Input Table</a:t>
          </a:r>
        </a:p>
      </xdr:txBody>
    </xdr:sp>
    <xdr:clientData/>
  </xdr:twoCellAnchor>
  <xdr:twoCellAnchor>
    <xdr:from>
      <xdr:col>0</xdr:col>
      <xdr:colOff>704849</xdr:colOff>
      <xdr:row>9</xdr:row>
      <xdr:rowOff>171450</xdr:rowOff>
    </xdr:from>
    <xdr:to>
      <xdr:col>1</xdr:col>
      <xdr:colOff>866774</xdr:colOff>
      <xdr:row>11</xdr:row>
      <xdr:rowOff>45720</xdr:rowOff>
    </xdr:to>
    <xdr:sp macro="[0]!AFF_Clear" textlink="">
      <xdr:nvSpPr>
        <xdr:cNvPr id="4" name="TextBox 3">
          <a:extLst>
            <a:ext uri="{FF2B5EF4-FFF2-40B4-BE49-F238E27FC236}">
              <a16:creationId xmlns:a16="http://schemas.microsoft.com/office/drawing/2014/main" id="{49602B94-942F-43F8-9AFE-B26AE9654E1F}"/>
            </a:ext>
          </a:extLst>
        </xdr:cNvPr>
        <xdr:cNvSpPr txBox="1"/>
      </xdr:nvSpPr>
      <xdr:spPr>
        <a:xfrm>
          <a:off x="704849" y="1971675"/>
          <a:ext cx="1828800" cy="274320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aseline="0"/>
            <a:t>Clear AFF Input Table</a:t>
          </a:r>
        </a:p>
      </xdr:txBody>
    </xdr:sp>
    <xdr:clientData/>
  </xdr:twoCellAnchor>
  <xdr:twoCellAnchor>
    <xdr:from>
      <xdr:col>0</xdr:col>
      <xdr:colOff>704849</xdr:colOff>
      <xdr:row>11</xdr:row>
      <xdr:rowOff>180975</xdr:rowOff>
    </xdr:from>
    <xdr:to>
      <xdr:col>1</xdr:col>
      <xdr:colOff>866774</xdr:colOff>
      <xdr:row>13</xdr:row>
      <xdr:rowOff>55245</xdr:rowOff>
    </xdr:to>
    <xdr:sp macro="[0]!Export_AFF_Input" textlink="">
      <xdr:nvSpPr>
        <xdr:cNvPr id="5" name="TextBox 4">
          <a:extLst>
            <a:ext uri="{FF2B5EF4-FFF2-40B4-BE49-F238E27FC236}">
              <a16:creationId xmlns:a16="http://schemas.microsoft.com/office/drawing/2014/main" id="{9D447763-D04C-44E9-8F80-0016ECB4E51B}"/>
            </a:ext>
          </a:extLst>
        </xdr:cNvPr>
        <xdr:cNvSpPr txBox="1"/>
      </xdr:nvSpPr>
      <xdr:spPr>
        <a:xfrm>
          <a:off x="704849" y="2381250"/>
          <a:ext cx="1828800" cy="274320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Export </a:t>
          </a:r>
          <a:r>
            <a:rPr lang="en-US" sz="1100" baseline="0"/>
            <a:t>AFF Input to Text File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put_Setup">
    <tabColor theme="1"/>
  </sheetPr>
  <dimension ref="A1:XFC25"/>
  <sheetViews>
    <sheetView tabSelected="1" workbookViewId="0"/>
  </sheetViews>
  <sheetFormatPr defaultColWidth="0" defaultRowHeight="15" zeroHeight="1" x14ac:dyDescent="0.25"/>
  <cols>
    <col min="1" max="1" width="27.5703125" style="15" bestFit="1" customWidth="1"/>
    <col min="2" max="2" width="8.5703125" style="15" bestFit="1" customWidth="1"/>
    <col min="3" max="3" width="53.85546875" style="15" customWidth="1"/>
    <col min="4" max="10" width="9.140625" style="15" hidden="1" customWidth="1"/>
    <col min="11" max="16383" width="9.140625" style="15" hidden="1"/>
    <col min="16384" max="16384" width="3.85546875" style="15" hidden="1" customWidth="1"/>
  </cols>
  <sheetData>
    <row r="1" spans="1:3" x14ac:dyDescent="0.25">
      <c r="A1" s="126" t="s">
        <v>187</v>
      </c>
      <c r="B1" s="127"/>
      <c r="C1" s="127"/>
    </row>
    <row r="2" spans="1:3" x14ac:dyDescent="0.25">
      <c r="A2" s="127"/>
      <c r="B2" s="127"/>
      <c r="C2" s="127"/>
    </row>
    <row r="3" spans="1:3" x14ac:dyDescent="0.25">
      <c r="A3" s="127"/>
      <c r="B3" s="127"/>
      <c r="C3" s="127"/>
    </row>
    <row r="4" spans="1:3" x14ac:dyDescent="0.25">
      <c r="A4" s="126" t="s">
        <v>175</v>
      </c>
      <c r="B4" s="127"/>
      <c r="C4" s="127"/>
    </row>
    <row r="5" spans="1:3" x14ac:dyDescent="0.25">
      <c r="A5" s="129" t="s">
        <v>905</v>
      </c>
      <c r="B5" s="127"/>
      <c r="C5" s="127"/>
    </row>
    <row r="6" spans="1:3" x14ac:dyDescent="0.25">
      <c r="A6" s="127"/>
      <c r="B6" s="127"/>
      <c r="C6" s="127"/>
    </row>
    <row r="7" spans="1:3" x14ac:dyDescent="0.25">
      <c r="A7" s="130"/>
      <c r="B7" s="130"/>
      <c r="C7" s="130"/>
    </row>
    <row r="8" spans="1:3" x14ac:dyDescent="0.25">
      <c r="A8" s="131" t="s">
        <v>174</v>
      </c>
      <c r="B8" s="132"/>
      <c r="C8" s="132"/>
    </row>
    <row r="9" spans="1:3" x14ac:dyDescent="0.25">
      <c r="A9" s="102" t="s">
        <v>17</v>
      </c>
      <c r="B9" s="103" t="s">
        <v>176</v>
      </c>
      <c r="C9" s="132"/>
    </row>
    <row r="10" spans="1:3" x14ac:dyDescent="0.25">
      <c r="A10" s="104" t="s">
        <v>18</v>
      </c>
      <c r="B10" s="105" t="s">
        <v>176</v>
      </c>
      <c r="C10" s="132"/>
    </row>
    <row r="11" spans="1:3" x14ac:dyDescent="0.25">
      <c r="A11" s="106" t="s">
        <v>19</v>
      </c>
      <c r="B11" s="107" t="s">
        <v>176</v>
      </c>
      <c r="C11" s="132"/>
    </row>
    <row r="12" spans="1:3" x14ac:dyDescent="0.25">
      <c r="A12" s="108" t="s">
        <v>109</v>
      </c>
      <c r="B12" s="109" t="s">
        <v>176</v>
      </c>
      <c r="C12" s="133" t="str">
        <f>IF(VFLAWInput="Yes","Choose VFLAW Input Options Below","")</f>
        <v/>
      </c>
    </row>
    <row r="13" spans="1:3" x14ac:dyDescent="0.25">
      <c r="A13" s="108" t="str">
        <f>IF(VFLAWInput="yes","Surface Flaw Depths","")</f>
        <v/>
      </c>
      <c r="B13" s="109" t="s">
        <v>125</v>
      </c>
      <c r="C13" s="133" t="str">
        <f>IF(VFLAWInput="Yes",IF(VFLAW_SURF_OPT="None","No Surface flaws modeled",IF(VFLAW_SURF_OPT="Just One","All surface flaws modeled have same depth","Variety of surface flaw depths modeled")),"")</f>
        <v/>
      </c>
    </row>
    <row r="14" spans="1:3" x14ac:dyDescent="0.25">
      <c r="A14" s="108" t="str">
        <f>IF(VFLAWInput="yes","Embedded Weld Flaw Depths","")</f>
        <v/>
      </c>
      <c r="B14" s="109" t="s">
        <v>125</v>
      </c>
      <c r="C14" s="133" t="str">
        <f>IF(VFLAWInput="Yes",IF(VFLAW_WELD_OPT="None","No embedded weld flaws modeled",IF(VFLAW_WELD_OPT="Just One","All embedded weld flaws modeled have same depth","Variety of embedded weld flaw depths modeled")),"")</f>
        <v/>
      </c>
    </row>
    <row r="15" spans="1:3" x14ac:dyDescent="0.25">
      <c r="A15" s="108" t="str">
        <f>IF(VFLAWInput="yes","Embedded Plate Flaw Depths","")</f>
        <v/>
      </c>
      <c r="B15" s="109" t="s">
        <v>125</v>
      </c>
      <c r="C15" s="133" t="str">
        <f>IF(VFLAWInput="Yes",IF(VFLAW_PLATE_OPT="None","No embedded plate flaws modeled",IF(VFLAW_PLATE_OPT="Just One","All embedded plate flaws modeled have same depth","Variety of embedded plate flaw depths modeled")),"")</f>
        <v/>
      </c>
    </row>
    <row r="16" spans="1:3" x14ac:dyDescent="0.25">
      <c r="A16" s="136" t="s">
        <v>177</v>
      </c>
      <c r="B16" s="137" t="s">
        <v>176</v>
      </c>
      <c r="C16" s="133"/>
    </row>
    <row r="17" spans="1:3" x14ac:dyDescent="0.25">
      <c r="A17" s="134"/>
      <c r="B17" s="134"/>
      <c r="C17" s="134"/>
    </row>
    <row r="18" spans="1:3" x14ac:dyDescent="0.25">
      <c r="A18" s="208" t="s">
        <v>108</v>
      </c>
      <c r="B18" s="208"/>
      <c r="C18" s="208"/>
    </row>
    <row r="19" spans="1:3" x14ac:dyDescent="0.25">
      <c r="A19" s="132"/>
      <c r="B19" s="132"/>
      <c r="C19" s="132"/>
    </row>
    <row r="20" spans="1:3" x14ac:dyDescent="0.25">
      <c r="A20" s="140" t="s">
        <v>29</v>
      </c>
      <c r="B20" s="141"/>
      <c r="C20" s="141"/>
    </row>
    <row r="21" spans="1:3" x14ac:dyDescent="0.25">
      <c r="A21" s="213" t="s">
        <v>30</v>
      </c>
      <c r="B21" s="213"/>
      <c r="C21" s="213"/>
    </row>
    <row r="22" spans="1:3" x14ac:dyDescent="0.25">
      <c r="A22" s="212" t="s">
        <v>32</v>
      </c>
      <c r="B22" s="212"/>
      <c r="C22" s="212"/>
    </row>
    <row r="23" spans="1:3" x14ac:dyDescent="0.25">
      <c r="A23" s="211" t="s">
        <v>31</v>
      </c>
      <c r="B23" s="211"/>
      <c r="C23" s="211"/>
    </row>
    <row r="24" spans="1:3" x14ac:dyDescent="0.25">
      <c r="A24" s="210" t="s">
        <v>192</v>
      </c>
      <c r="B24" s="210"/>
      <c r="C24" s="210"/>
    </row>
    <row r="25" spans="1:3" x14ac:dyDescent="0.25">
      <c r="A25" s="209" t="s">
        <v>52</v>
      </c>
      <c r="B25" s="209"/>
      <c r="C25" s="209"/>
    </row>
  </sheetData>
  <sheetProtection sheet="1" objects="1" scenarios="1"/>
  <mergeCells count="6">
    <mergeCell ref="A18:C18"/>
    <mergeCell ref="A25:C25"/>
    <mergeCell ref="A24:C24"/>
    <mergeCell ref="A23:C23"/>
    <mergeCell ref="A22:C22"/>
    <mergeCell ref="A21:C21"/>
  </mergeCells>
  <dataValidations count="2">
    <dataValidation type="list" allowBlank="1" showInputMessage="1" showErrorMessage="1" sqref="B9:B12 B16" xr:uid="{00000000-0002-0000-0000-000000000000}">
      <formula1>"Yes,No"</formula1>
    </dataValidation>
    <dataValidation type="list" allowBlank="1" showInputMessage="1" showErrorMessage="1" sqref="B13:B15" xr:uid="{00000000-0002-0000-0000-000001000000}">
      <formula1>"None,Just One,Several"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AVLoad_Parameters">
    <tabColor rgb="FFFFC000"/>
  </sheetPr>
  <dimension ref="A1:G59"/>
  <sheetViews>
    <sheetView workbookViewId="0"/>
  </sheetViews>
  <sheetFormatPr defaultColWidth="0" defaultRowHeight="15" zeroHeight="1" x14ac:dyDescent="0.25"/>
  <cols>
    <col min="1" max="1" width="45.85546875" style="1" bestFit="1" customWidth="1"/>
    <col min="2" max="3" width="12.85546875" style="18" bestFit="1" customWidth="1"/>
    <col min="4" max="4" width="46.85546875" style="19" bestFit="1" customWidth="1"/>
    <col min="5" max="5" width="57.7109375" style="20" bestFit="1" customWidth="1"/>
    <col min="6" max="7" width="0" style="1" hidden="1" customWidth="1"/>
    <col min="8" max="16384" width="8.7109375" style="1" hidden="1"/>
  </cols>
  <sheetData>
    <row r="1" spans="1:5" x14ac:dyDescent="0.25">
      <c r="A1" s="14" t="s">
        <v>9</v>
      </c>
    </row>
    <row r="2" spans="1:5" x14ac:dyDescent="0.25">
      <c r="A2" s="1" t="s">
        <v>55</v>
      </c>
      <c r="B2" s="4" t="s">
        <v>906</v>
      </c>
    </row>
    <row r="3" spans="1:5" x14ac:dyDescent="0.25">
      <c r="A3" s="1" t="s">
        <v>56</v>
      </c>
      <c r="B3" s="154" t="str">
        <f>FAVLoadCase&amp;".json"</f>
        <v>ver_9.json</v>
      </c>
    </row>
    <row r="4" spans="1:5" x14ac:dyDescent="0.25">
      <c r="A4" s="1" t="s">
        <v>57</v>
      </c>
      <c r="B4" s="154" t="str">
        <f>FAVLoadCase&amp;".out"</f>
        <v>ver_9.out</v>
      </c>
    </row>
    <row r="5" spans="1:5" x14ac:dyDescent="0.25"/>
    <row r="6" spans="1:5" x14ac:dyDescent="0.25">
      <c r="A6" s="14" t="s">
        <v>0</v>
      </c>
    </row>
    <row r="7" spans="1:5" x14ac:dyDescent="0.25">
      <c r="A7" s="1" t="s">
        <v>205</v>
      </c>
      <c r="B7" s="196">
        <v>86</v>
      </c>
      <c r="C7" s="23" t="s">
        <v>33</v>
      </c>
      <c r="E7" s="159" t="str" cm="1">
        <f t="array" ref="E7">A7&amp;"""" &amp;real(B7)&amp;" "&amp;C7&amp;""""</f>
        <v>"internal radius" : "86.0 in"</v>
      </c>
    </row>
    <row r="8" spans="1:5" x14ac:dyDescent="0.25">
      <c r="A8" s="1" t="s">
        <v>204</v>
      </c>
      <c r="B8" s="196">
        <v>8.75</v>
      </c>
      <c r="C8" s="23" t="s">
        <v>33</v>
      </c>
      <c r="E8" s="159" t="str" cm="1">
        <f t="array" ref="E8">A8&amp;"""" &amp;real(B8)&amp;" "&amp;C8&amp;""""</f>
        <v>"wall thickness" : "8.75 in"</v>
      </c>
    </row>
    <row r="9" spans="1:5" x14ac:dyDescent="0.25">
      <c r="A9" s="1" t="s">
        <v>460</v>
      </c>
      <c r="B9" s="196">
        <v>0.25</v>
      </c>
      <c r="C9" s="23" t="s">
        <v>33</v>
      </c>
      <c r="E9" s="159" t="str" cm="1">
        <f t="array" ref="E9">A9&amp;"""" &amp;real(B9)&amp;" "&amp;C9&amp;""""</f>
        <v>"clad thickness" :"0.25 in"</v>
      </c>
    </row>
    <row r="10" spans="1:5" x14ac:dyDescent="0.25"/>
    <row r="11" spans="1:5" x14ac:dyDescent="0.25">
      <c r="A11" s="14" t="s">
        <v>2</v>
      </c>
    </row>
    <row r="12" spans="1:5" x14ac:dyDescent="0.25">
      <c r="A12" s="1" t="s">
        <v>210</v>
      </c>
      <c r="B12" s="4" t="s">
        <v>1</v>
      </c>
      <c r="C12" s="135"/>
      <c r="D12" s="3" t="str">
        <f>IF($B$12="yes","Start here then fill out '1.2-FAVLoad Materials' Tab","Complete This Section")</f>
        <v>Complete This Section</v>
      </c>
      <c r="E12" s="128" t="str">
        <f>A12&amp;IF(B12="no","false","true")</f>
        <v>"temperature dependent" : false</v>
      </c>
    </row>
    <row r="13" spans="1:5" x14ac:dyDescent="0.25">
      <c r="A13" s="1" t="s">
        <v>230</v>
      </c>
      <c r="B13" s="197">
        <v>70</v>
      </c>
      <c r="C13" s="5" t="s">
        <v>216</v>
      </c>
      <c r="E13" s="159" t="str" cm="1">
        <f t="array" ref="E13">A13&amp;"""" &amp;real(B13)&amp;" "&amp;C13&amp;""""</f>
        <v>"reference temperature" : "70.0 F"</v>
      </c>
    </row>
    <row r="14" spans="1:5" x14ac:dyDescent="0.25">
      <c r="A14" s="1" t="s">
        <v>233</v>
      </c>
      <c r="B14" s="196">
        <v>489</v>
      </c>
      <c r="C14" s="23" t="s">
        <v>214</v>
      </c>
      <c r="E14" s="159" t="str" cm="1">
        <f t="array" ref="E14">A14&amp;"""" &amp;real(B14)&amp;" "&amp;C14&amp;""""</f>
        <v>"density" : "489.0 lbm/ft^3"</v>
      </c>
    </row>
    <row r="15" spans="1:5" x14ac:dyDescent="0.25">
      <c r="A15" s="1" t="str">
        <f>IF($B$12="yes","",CHAR(34)&amp;"thermal conductivity"&amp;CHAR(34)&amp;" : ")</f>
        <v xml:space="preserve">"thermal conductivity" : </v>
      </c>
      <c r="B15" s="196">
        <v>24</v>
      </c>
      <c r="C15" s="23" t="s">
        <v>461</v>
      </c>
      <c r="E15" s="159" t="str" cm="1">
        <f t="array" ref="E15">A15&amp;"""" &amp;real(B15)&amp;" "&amp;C15&amp;""""</f>
        <v>"thermal conductivity" : "24.0 BTU/(h ft F)"</v>
      </c>
    </row>
    <row r="16" spans="1:5" x14ac:dyDescent="0.25">
      <c r="A16" s="1" t="str">
        <f>IF($B$12="yes","",CHAR(34)&amp;"specific heat"&amp;CHAR(34)&amp;" : ")</f>
        <v xml:space="preserve">"specific heat" : </v>
      </c>
      <c r="B16" s="196">
        <v>0.12</v>
      </c>
      <c r="C16" s="23" t="s">
        <v>213</v>
      </c>
      <c r="E16" s="159" t="str" cm="1">
        <f t="array" ref="E16">A16&amp;"""" &amp;real(B16)&amp;" "&amp;C16&amp;""""</f>
        <v>"specific heat" : "0.12 BTU/(lbm F)"</v>
      </c>
    </row>
    <row r="17" spans="1:5" x14ac:dyDescent="0.25">
      <c r="A17" s="1" t="str">
        <f>IF($B$12="yes","",CHAR(34)&amp;"young's elastic modulus"&amp;CHAR(34)&amp;" : ")</f>
        <v xml:space="preserve">"young's elastic modulus" : </v>
      </c>
      <c r="B17" s="196">
        <v>28000</v>
      </c>
      <c r="C17" s="23" t="s">
        <v>24</v>
      </c>
      <c r="E17" s="159" t="str" cm="1">
        <f t="array" ref="E17">A17&amp;"""" &amp;real(B17)&amp;" "&amp;C17&amp;""""</f>
        <v>"young's elastic modulus" : "28000.0 ksi"</v>
      </c>
    </row>
    <row r="18" spans="1:5" x14ac:dyDescent="0.25">
      <c r="A18" s="1" t="str">
        <f>IF($B$12="yes","",CHAR(34)&amp;"thermal expansion coefficient"&amp;CHAR(34)&amp;" : ")</f>
        <v xml:space="preserve">"thermal expansion coefficient" : </v>
      </c>
      <c r="B18" s="196">
        <v>7.7700000000000001E-6</v>
      </c>
      <c r="C18" s="5" t="s">
        <v>215</v>
      </c>
      <c r="E18" s="159" t="str" cm="1">
        <f t="array" ref="E18">A18&amp;"""" &amp;real(B18)&amp;" "&amp;C18&amp;""""</f>
        <v>"thermal expansion coefficient" : "0.00000777 1/F"</v>
      </c>
    </row>
    <row r="19" spans="1:5" x14ac:dyDescent="0.25">
      <c r="A19" s="1" t="str">
        <f>IF($B$12="yes","",CHAR(34)&amp;"poisson's ratio"&amp;CHAR(34)&amp;" : ")</f>
        <v xml:space="preserve">"poisson's ratio" : </v>
      </c>
      <c r="B19" s="196">
        <v>0.3</v>
      </c>
      <c r="E19" s="159" t="str" cm="1">
        <f t="array" ref="E19">A19&amp;real(B19)</f>
        <v>"poisson's ratio" : 0.3</v>
      </c>
    </row>
    <row r="20" spans="1:5" x14ac:dyDescent="0.25">
      <c r="B20" s="195"/>
      <c r="C20" s="5"/>
      <c r="E20" s="159"/>
    </row>
    <row r="21" spans="1:5" x14ac:dyDescent="0.25">
      <c r="A21" s="14" t="s">
        <v>3</v>
      </c>
    </row>
    <row r="22" spans="1:5" x14ac:dyDescent="0.25">
      <c r="A22" s="1" t="s">
        <v>210</v>
      </c>
      <c r="B22" s="4" t="s">
        <v>1</v>
      </c>
      <c r="C22" s="135"/>
      <c r="D22" s="3" t="str">
        <f>IF($B$22="yes","Start here then fill out '1.2-FAVLoad Materials' Tab","Complete This Section")</f>
        <v>Complete This Section</v>
      </c>
      <c r="E22" s="128" t="str">
        <f>A22&amp;IF(B22="no","false","true")</f>
        <v>"temperature dependent" : false</v>
      </c>
    </row>
    <row r="23" spans="1:5" x14ac:dyDescent="0.25">
      <c r="A23" s="1" t="s">
        <v>230</v>
      </c>
      <c r="B23" s="197">
        <v>70</v>
      </c>
      <c r="C23" s="5" t="s">
        <v>216</v>
      </c>
      <c r="E23" s="159" t="str" cm="1">
        <f t="array" ref="E23">A23&amp;"""" &amp;real(B23)&amp;" "&amp;C23&amp;""""</f>
        <v>"reference temperature" : "70.0 F"</v>
      </c>
    </row>
    <row r="24" spans="1:5" x14ac:dyDescent="0.25">
      <c r="A24" s="1" t="s">
        <v>233</v>
      </c>
      <c r="B24" s="196">
        <v>489</v>
      </c>
      <c r="C24" s="23" t="s">
        <v>214</v>
      </c>
      <c r="E24" s="159" t="str" cm="1">
        <f t="array" ref="E24">A24&amp;"""" &amp;real(B24)&amp;" "&amp;C24&amp;""""</f>
        <v>"density" : "489.0 lbm/ft^3"</v>
      </c>
    </row>
    <row r="25" spans="1:5" x14ac:dyDescent="0.25">
      <c r="A25" s="1" t="str">
        <f>IF($B$22="yes","",CHAR(34)&amp;"thermal conductivity"&amp;CHAR(34)&amp;" : ")</f>
        <v xml:space="preserve">"thermal conductivity" : </v>
      </c>
      <c r="B25" s="196">
        <v>10</v>
      </c>
      <c r="C25" s="23" t="s">
        <v>461</v>
      </c>
      <c r="E25" s="159" t="str" cm="1">
        <f t="array" ref="E25">A25&amp;"""" &amp;real(B25)&amp;" "&amp;C25&amp;""""</f>
        <v>"thermal conductivity" : "10.0 BTU/(h ft F)"</v>
      </c>
    </row>
    <row r="26" spans="1:5" x14ac:dyDescent="0.25">
      <c r="A26" s="1" t="str">
        <f>IF($B$22="yes","",CHAR(34)&amp;"specific heat"&amp;CHAR(34)&amp;" : ")</f>
        <v xml:space="preserve">"specific heat" : </v>
      </c>
      <c r="B26" s="196">
        <v>0.12</v>
      </c>
      <c r="C26" s="23" t="s">
        <v>213</v>
      </c>
      <c r="E26" s="159" t="str" cm="1">
        <f t="array" ref="E26">A26&amp;"""" &amp;real(B26)&amp;" "&amp;C26&amp;""""</f>
        <v>"specific heat" : "0.12 BTU/(lbm F)"</v>
      </c>
    </row>
    <row r="27" spans="1:5" x14ac:dyDescent="0.25">
      <c r="A27" s="1" t="str">
        <f>IF($B$22="yes","",CHAR(34)&amp;"young's elastic modulus"&amp;CHAR(34)&amp;" : ")</f>
        <v xml:space="preserve">"young's elastic modulus" : </v>
      </c>
      <c r="B27" s="196">
        <v>22800</v>
      </c>
      <c r="C27" s="23" t="s">
        <v>24</v>
      </c>
      <c r="E27" s="159" t="str" cm="1">
        <f t="array" ref="E27">A27&amp;"""" &amp;real(B27)&amp;" "&amp;C27&amp;""""</f>
        <v>"young's elastic modulus" : "22800.0 ksi"</v>
      </c>
    </row>
    <row r="28" spans="1:5" x14ac:dyDescent="0.25">
      <c r="A28" s="1" t="str">
        <f>IF($B$22="yes","",CHAR(34)&amp;"thermal expansion coefficient"&amp;CHAR(34)&amp;" : ")</f>
        <v xml:space="preserve">"thermal expansion coefficient" : </v>
      </c>
      <c r="B28" s="196">
        <v>9.4499999999999993E-6</v>
      </c>
      <c r="C28" s="5" t="s">
        <v>215</v>
      </c>
      <c r="E28" s="159" t="str" cm="1">
        <f t="array" ref="E28">A28&amp;"""" &amp;real(B28)&amp;" "&amp;C28&amp;""""</f>
        <v>"thermal expansion coefficient" : "0.00000945 1/F"</v>
      </c>
    </row>
    <row r="29" spans="1:5" x14ac:dyDescent="0.25">
      <c r="A29" s="1" t="str">
        <f>IF($B$22="yes","",CHAR(34)&amp;"poisson's ratio"&amp;CHAR(34)&amp;" : ")</f>
        <v xml:space="preserve">"poisson's ratio" : </v>
      </c>
      <c r="B29" s="196">
        <v>0.3</v>
      </c>
      <c r="E29" s="159" t="str" cm="1">
        <f t="array" ref="E29">A29&amp;real(B29)</f>
        <v>"poisson's ratio" : 0.3</v>
      </c>
    </row>
    <row r="30" spans="1:5" x14ac:dyDescent="0.25">
      <c r="B30" s="195"/>
      <c r="C30" s="5"/>
    </row>
    <row r="31" spans="1:5" x14ac:dyDescent="0.25">
      <c r="A31" s="14" t="s">
        <v>4</v>
      </c>
    </row>
    <row r="32" spans="1:5" x14ac:dyDescent="0.25">
      <c r="A32" s="1" t="s">
        <v>223</v>
      </c>
      <c r="B32" s="198">
        <v>488</v>
      </c>
      <c r="C32" s="5" t="s">
        <v>216</v>
      </c>
      <c r="E32" s="159" t="str" cm="1">
        <f t="array" ref="E32">A32&amp;"""" &amp;real(B32)&amp;" "&amp;C32&amp;""""</f>
        <v>"stress-free temperature" : "488.0 F"</v>
      </c>
    </row>
    <row r="33" spans="1:5" x14ac:dyDescent="0.25">
      <c r="A33" s="1" t="s">
        <v>226</v>
      </c>
      <c r="B33" s="4" t="s">
        <v>54</v>
      </c>
      <c r="E33" s="128" t="str">
        <f>A33&amp;IF(B33="no","false","true")</f>
        <v>"crack-face pressure loading" : true</v>
      </c>
    </row>
    <row r="34" spans="1:5" x14ac:dyDescent="0.25"/>
    <row r="35" spans="1:5" x14ac:dyDescent="0.25">
      <c r="A35" s="14" t="s">
        <v>5</v>
      </c>
    </row>
    <row r="36" spans="1:5" x14ac:dyDescent="0.25">
      <c r="A36" s="1" t="s">
        <v>224</v>
      </c>
      <c r="B36" s="4" t="s">
        <v>1</v>
      </c>
      <c r="E36" s="128" t="str">
        <f>A36&amp;IF(B36="no","false","true")</f>
        <v>"axial residual stresses in weld" : false</v>
      </c>
    </row>
    <row r="37" spans="1:5" x14ac:dyDescent="0.25">
      <c r="A37" s="1" t="s">
        <v>225</v>
      </c>
      <c r="B37" s="4" t="s">
        <v>1</v>
      </c>
      <c r="E37" s="128" t="str">
        <f>A37&amp;IF(B37="no","false","true")</f>
        <v>"circumferential residual stresses in weld" : false</v>
      </c>
    </row>
    <row r="38" spans="1:5" x14ac:dyDescent="0.25"/>
    <row r="39" spans="1:5" x14ac:dyDescent="0.25">
      <c r="A39" s="14" t="s">
        <v>6</v>
      </c>
    </row>
    <row r="40" spans="1:5" x14ac:dyDescent="0.25">
      <c r="A40" s="1" t="s">
        <v>227</v>
      </c>
      <c r="B40" s="22">
        <v>600</v>
      </c>
      <c r="C40" s="23" t="s">
        <v>229</v>
      </c>
      <c r="E40" s="159" t="str" cm="1">
        <f t="array" ref="E40">A40&amp;"""" &amp;real(B40)&amp;" "&amp;C40&amp;""""</f>
        <v>"total time" : "600.0 m"</v>
      </c>
    </row>
    <row r="41" spans="1:5" x14ac:dyDescent="0.25">
      <c r="A41" s="1" t="s">
        <v>228</v>
      </c>
      <c r="B41" s="22">
        <v>1</v>
      </c>
      <c r="C41" s="23" t="s">
        <v>229</v>
      </c>
      <c r="E41" s="159" t="str" cm="1">
        <f t="array" ref="E41">A41&amp;"""" &amp;real(B41)&amp;" "&amp;C41&amp;""""</f>
        <v>"dt" : "1.0 m"</v>
      </c>
    </row>
    <row r="42" spans="1:5" x14ac:dyDescent="0.25"/>
    <row r="43" spans="1:5" x14ac:dyDescent="0.25">
      <c r="A43" s="14" t="s">
        <v>8</v>
      </c>
    </row>
    <row r="44" spans="1:5" x14ac:dyDescent="0.25">
      <c r="A44" s="1" t="s">
        <v>7</v>
      </c>
      <c r="B44" s="22">
        <v>2</v>
      </c>
      <c r="D44" s="19" t="s">
        <v>23</v>
      </c>
      <c r="E44" s="20">
        <f>B44</f>
        <v>2</v>
      </c>
    </row>
    <row r="45" spans="1:5" x14ac:dyDescent="0.25"/>
    <row r="46" spans="1:5" x14ac:dyDescent="0.25"/>
    <row r="47" spans="1:5" x14ac:dyDescent="0.25"/>
    <row r="48" spans="1:5" x14ac:dyDescent="0.25"/>
    <row r="49" spans="5:5" x14ac:dyDescent="0.25"/>
    <row r="50" spans="5:5" hidden="1" x14ac:dyDescent="0.25">
      <c r="E50" s="20" t="s">
        <v>218</v>
      </c>
    </row>
    <row r="51" spans="5:5" hidden="1" x14ac:dyDescent="0.25">
      <c r="E51" s="20" t="s">
        <v>220</v>
      </c>
    </row>
    <row r="52" spans="5:5" hidden="1" x14ac:dyDescent="0.25">
      <c r="E52" s="20" t="s">
        <v>221</v>
      </c>
    </row>
    <row r="53" spans="5:5" hidden="1" x14ac:dyDescent="0.25">
      <c r="E53" s="20" t="s">
        <v>222</v>
      </c>
    </row>
    <row r="54" spans="5:5" hidden="1" x14ac:dyDescent="0.25">
      <c r="E54" s="20" t="s">
        <v>211</v>
      </c>
    </row>
    <row r="55" spans="5:5" hidden="1" x14ac:dyDescent="0.25">
      <c r="E55" s="20" t="s">
        <v>209</v>
      </c>
    </row>
    <row r="56" spans="5:5" x14ac:dyDescent="0.25"/>
    <row r="57" spans="5:5" x14ac:dyDescent="0.25"/>
    <row r="58" spans="5:5" x14ac:dyDescent="0.25"/>
    <row r="59" spans="5:5" x14ac:dyDescent="0.25"/>
  </sheetData>
  <sheetProtection sheet="1" objects="1" scenarios="1"/>
  <dataValidations count="10">
    <dataValidation type="list" allowBlank="1" showInputMessage="1" showErrorMessage="1" sqref="C7:C9" xr:uid="{00000000-0002-0000-0100-000000000000}">
      <formula1>"mm,cm,m,in,ft"</formula1>
    </dataValidation>
    <dataValidation type="list" allowBlank="1" showInputMessage="1" showErrorMessage="1" sqref="B12:B14 B22:B24 B33 B36:B37" xr:uid="{00000000-0002-0000-0100-000001000000}">
      <formula1>"no,yes"</formula1>
    </dataValidation>
    <dataValidation type="whole" operator="greaterThanOrEqual" allowBlank="1" showInputMessage="1" showErrorMessage="1" sqref="B44" xr:uid="{00000000-0002-0000-0100-000002000000}">
      <formula1>1</formula1>
    </dataValidation>
    <dataValidation type="list" allowBlank="1" showInputMessage="1" showErrorMessage="1" sqref="C32 C13:C14 C20 C23:C24 C30" xr:uid="{B94297C5-7452-4B75-8F15-3E4E96B5075B}">
      <formula1>"C,K,F,R"</formula1>
    </dataValidation>
    <dataValidation type="list" allowBlank="1" showInputMessage="1" showErrorMessage="1" sqref="C40:C41" xr:uid="{AAD65983-233C-4569-AA54-7108EE498654}">
      <formula1>"s,m,h,d"</formula1>
    </dataValidation>
    <dataValidation type="list" allowBlank="1" showInputMessage="1" showErrorMessage="1" sqref="C25 C15" xr:uid="{156E70BB-21A6-436B-B48B-75B9EB5E4F87}">
      <formula1>"cal/(s cm K),W/(cm K),W/(m K),BTU/(h ft F),BTU/(h ft R)"</formula1>
    </dataValidation>
    <dataValidation type="list" allowBlank="1" showInputMessage="1" showErrorMessage="1" sqref="C26 C16" xr:uid="{D1DF3293-A51A-496C-B8AD-D4B1A5616CF5}">
      <formula1>"BTU/(lbm R),J/(kg K),BTU/(lbm F)"</formula1>
    </dataValidation>
    <dataValidation type="list" allowBlank="1" showInputMessage="1" showErrorMessage="1" sqref="C24 C14" xr:uid="{A72CD1E3-E28F-432C-9F0B-925E65D3C763}">
      <formula1>"g/m^3,kg/m^3,lbm/ft^3"</formula1>
    </dataValidation>
    <dataValidation type="list" allowBlank="1" showInputMessage="1" showErrorMessage="1" sqref="C27 C17" xr:uid="{FAB9BCAC-54EB-4755-9E2C-B56BCCAC5621}">
      <formula1>"atm,bar,dyn/cm^2,Pa,kPa,MPa,kp/cm^2,psi,ksi"</formula1>
    </dataValidation>
    <dataValidation type="list" allowBlank="1" showInputMessage="1" showErrorMessage="1" sqref="C28 C18" xr:uid="{DB7312DF-1A04-4B7B-B65C-44050B3E73B9}">
      <formula1>"1/K,1/F,1/R"</formula1>
    </dataValidation>
  </dataValidation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AVLoad_Materials">
    <tabColor rgb="FFFFC000"/>
  </sheetPr>
  <dimension ref="A1:T23"/>
  <sheetViews>
    <sheetView workbookViewId="0">
      <selection sqref="A1:J1"/>
    </sheetView>
  </sheetViews>
  <sheetFormatPr defaultColWidth="0" defaultRowHeight="15" x14ac:dyDescent="0.25"/>
  <cols>
    <col min="1" max="1" width="12.85546875" style="160" customWidth="1"/>
    <col min="2" max="2" width="12.85546875" style="162" customWidth="1"/>
    <col min="3" max="3" width="12.85546875" style="161" customWidth="1"/>
    <col min="4" max="4" width="12.85546875" style="163" customWidth="1"/>
    <col min="5" max="5" width="12.85546875" style="161" customWidth="1"/>
    <col min="6" max="6" width="12.85546875" style="162" customWidth="1"/>
    <col min="7" max="7" width="12.85546875" style="161" customWidth="1"/>
    <col min="8" max="8" width="12.85546875" style="163" customWidth="1"/>
    <col min="9" max="9" width="12.85546875" style="161" customWidth="1"/>
    <col min="10" max="10" width="12.85546875" style="166" customWidth="1"/>
    <col min="11" max="11" width="12.85546875" style="160" customWidth="1"/>
    <col min="12" max="12" width="12.85546875" style="162" customWidth="1"/>
    <col min="13" max="13" width="12.85546875" style="164" customWidth="1"/>
    <col min="14" max="14" width="12.85546875" style="163" customWidth="1"/>
    <col min="15" max="15" width="12.85546875" style="164" customWidth="1"/>
    <col min="16" max="16" width="12.85546875" style="162" customWidth="1"/>
    <col min="17" max="17" width="12.85546875" style="164" customWidth="1"/>
    <col min="18" max="18" width="12.85546875" style="163" customWidth="1"/>
    <col min="19" max="19" width="12.85546875" style="161" customWidth="1"/>
    <col min="20" max="20" width="12.85546875" style="166" customWidth="1"/>
    <col min="21" max="16384" width="8.7109375" style="1" hidden="1"/>
  </cols>
  <sheetData>
    <row r="1" spans="1:20" x14ac:dyDescent="0.25">
      <c r="A1" s="214" t="s">
        <v>10</v>
      </c>
      <c r="B1" s="215"/>
      <c r="C1" s="215"/>
      <c r="D1" s="215"/>
      <c r="E1" s="215"/>
      <c r="F1" s="215"/>
      <c r="G1" s="215"/>
      <c r="H1" s="215"/>
      <c r="I1" s="215"/>
      <c r="J1" s="216"/>
      <c r="K1" s="24"/>
      <c r="L1" s="25"/>
      <c r="M1" s="25"/>
      <c r="N1" s="25"/>
      <c r="O1" s="25"/>
      <c r="P1" s="25"/>
      <c r="Q1" s="25"/>
      <c r="R1" s="25"/>
      <c r="S1" s="25"/>
      <c r="T1" s="26"/>
    </row>
    <row r="2" spans="1:20" x14ac:dyDescent="0.25">
      <c r="A2" s="217" t="str">
        <f>"Base Metal"&amp;IF('1.1-FAVLoad Parameters'!$B$12="no"," - Do not fill this out"," - Fill this out")</f>
        <v>Base Metal - Do not fill this out</v>
      </c>
      <c r="B2" s="218"/>
      <c r="C2" s="218"/>
      <c r="D2" s="218"/>
      <c r="E2" s="218"/>
      <c r="F2" s="218"/>
      <c r="G2" s="218"/>
      <c r="H2" s="218"/>
      <c r="I2" s="218"/>
      <c r="J2" s="219"/>
      <c r="K2" s="217" t="str">
        <f>"Cladding"&amp;IF('1.1-FAVLoad Parameters'!$B$22="no"," - Do not fill this out"," - Fill this out")</f>
        <v>Cladding - Do not fill this out</v>
      </c>
      <c r="L2" s="218"/>
      <c r="M2" s="218"/>
      <c r="N2" s="218"/>
      <c r="O2" s="218"/>
      <c r="P2" s="218"/>
      <c r="Q2" s="218"/>
      <c r="R2" s="218"/>
      <c r="S2" s="218"/>
      <c r="T2" s="219"/>
    </row>
    <row r="3" spans="1:20" x14ac:dyDescent="0.25">
      <c r="A3" s="203" t="str">
        <f>IF($B$12="yes","",CHAR(34)&amp;"reference temperature"&amp;CHAR(34)&amp;" : ")</f>
        <v xml:space="preserve">"reference temperature" : </v>
      </c>
      <c r="B3" s="194"/>
      <c r="C3" s="45">
        <v>70</v>
      </c>
      <c r="D3" s="5" t="s">
        <v>216</v>
      </c>
      <c r="E3" s="202" t="str" cm="1">
        <f t="array" ref="E3">A3&amp;"""" &amp;real(C3)&amp;" "&amp;D3&amp;""""</f>
        <v>"reference temperature" : "70.0 F"</v>
      </c>
      <c r="G3" s="29"/>
      <c r="H3" s="200"/>
      <c r="K3" s="27" t="s">
        <v>230</v>
      </c>
      <c r="L3" s="28"/>
      <c r="M3" s="45">
        <v>70</v>
      </c>
      <c r="N3" s="8" t="s">
        <v>216</v>
      </c>
      <c r="O3" s="206" t="str" cm="1">
        <f t="array" ref="O3">K3&amp;"""" &amp;real(M3)&amp;" "&amp;N3&amp;""""</f>
        <v>"reference temperature" : "70.0 F"</v>
      </c>
      <c r="P3" s="201"/>
      <c r="Q3" s="199"/>
      <c r="R3" s="201"/>
      <c r="S3" s="199"/>
    </row>
    <row r="4" spans="1:20" x14ac:dyDescent="0.25">
      <c r="A4" s="220" t="s">
        <v>34</v>
      </c>
      <c r="B4" s="221"/>
      <c r="C4" s="221"/>
      <c r="D4" s="221"/>
      <c r="E4" s="221"/>
      <c r="F4" s="221"/>
      <c r="G4" s="221"/>
      <c r="H4" s="221"/>
      <c r="I4" s="221"/>
      <c r="J4" s="222"/>
      <c r="K4" s="220" t="s">
        <v>34</v>
      </c>
      <c r="L4" s="221"/>
      <c r="M4" s="221"/>
      <c r="N4" s="221"/>
      <c r="O4" s="223"/>
      <c r="P4" s="223"/>
      <c r="Q4" s="223"/>
      <c r="R4" s="223"/>
      <c r="S4" s="223"/>
      <c r="T4" s="222"/>
    </row>
    <row r="5" spans="1:20" x14ac:dyDescent="0.25">
      <c r="A5" s="30" t="s">
        <v>35</v>
      </c>
      <c r="B5" s="31">
        <f>INT(COUNT(A8:B1048576)/2)</f>
        <v>16</v>
      </c>
      <c r="C5" s="32" t="s">
        <v>36</v>
      </c>
      <c r="D5" s="33">
        <f>INT(COUNT(C8:D1048576)/2)</f>
        <v>16</v>
      </c>
      <c r="E5" s="34" t="s">
        <v>37</v>
      </c>
      <c r="F5" s="35">
        <f>INT(COUNT(E8:F1048576)/2)</f>
        <v>8</v>
      </c>
      <c r="G5" s="34" t="s">
        <v>38</v>
      </c>
      <c r="H5" s="35">
        <f>INT(COUNT(G8:H1048576)/2)</f>
        <v>15</v>
      </c>
      <c r="I5" s="34" t="s">
        <v>39</v>
      </c>
      <c r="J5" s="204">
        <f>INT(COUNT(I8:J1048576)/2)</f>
        <v>2</v>
      </c>
      <c r="K5" s="36" t="s">
        <v>40</v>
      </c>
      <c r="L5" s="35">
        <f>INT(COUNT(K8:L1048576)/2)</f>
        <v>16</v>
      </c>
      <c r="M5" s="34" t="s">
        <v>41</v>
      </c>
      <c r="N5" s="35">
        <f>INT(COUNT(M8:N1048576)/2)</f>
        <v>16</v>
      </c>
      <c r="O5" s="34" t="s">
        <v>42</v>
      </c>
      <c r="P5" s="31">
        <f>INT(COUNT(O8:P1048576)/2)</f>
        <v>3</v>
      </c>
      <c r="Q5" s="34" t="s">
        <v>43</v>
      </c>
      <c r="R5" s="35">
        <f>INT(COUNT(Q8:R1048576)/2)</f>
        <v>15</v>
      </c>
      <c r="S5" s="37" t="s">
        <v>44</v>
      </c>
      <c r="T5" s="38">
        <f>INT(COUNT(S8:T1048576)/2)</f>
        <v>2</v>
      </c>
    </row>
    <row r="6" spans="1:20" s="43" customFormat="1" ht="45" x14ac:dyDescent="0.25">
      <c r="A6" s="39" t="s">
        <v>11</v>
      </c>
      <c r="B6" s="40" t="s">
        <v>12</v>
      </c>
      <c r="C6" s="41" t="s">
        <v>11</v>
      </c>
      <c r="D6" s="40" t="s">
        <v>13</v>
      </c>
      <c r="E6" s="41" t="s">
        <v>11</v>
      </c>
      <c r="F6" s="40" t="s">
        <v>14</v>
      </c>
      <c r="G6" s="41" t="s">
        <v>11</v>
      </c>
      <c r="H6" s="40" t="s">
        <v>15</v>
      </c>
      <c r="I6" s="41" t="s">
        <v>11</v>
      </c>
      <c r="J6" s="42" t="s">
        <v>16</v>
      </c>
      <c r="K6" s="39" t="s">
        <v>11</v>
      </c>
      <c r="L6" s="40" t="s">
        <v>12</v>
      </c>
      <c r="M6" s="40" t="s">
        <v>11</v>
      </c>
      <c r="N6" s="40" t="s">
        <v>13</v>
      </c>
      <c r="O6" s="40" t="s">
        <v>11</v>
      </c>
      <c r="P6" s="40" t="s">
        <v>14</v>
      </c>
      <c r="Q6" s="40" t="s">
        <v>11</v>
      </c>
      <c r="R6" s="40" t="s">
        <v>15</v>
      </c>
      <c r="S6" s="41" t="s">
        <v>11</v>
      </c>
      <c r="T6" s="42" t="s">
        <v>16</v>
      </c>
    </row>
    <row r="7" spans="1:20" s="44" customFormat="1" x14ac:dyDescent="0.25">
      <c r="A7" s="6" t="s">
        <v>216</v>
      </c>
      <c r="B7" s="46" t="s">
        <v>461</v>
      </c>
      <c r="C7" s="7" t="s">
        <v>216</v>
      </c>
      <c r="D7" s="7" t="s">
        <v>213</v>
      </c>
      <c r="E7" s="7" t="s">
        <v>216</v>
      </c>
      <c r="F7" s="7" t="s">
        <v>24</v>
      </c>
      <c r="G7" s="7" t="s">
        <v>216</v>
      </c>
      <c r="H7" s="7" t="s">
        <v>215</v>
      </c>
      <c r="I7" s="7" t="s">
        <v>216</v>
      </c>
      <c r="J7" s="47"/>
      <c r="K7" s="6" t="s">
        <v>216</v>
      </c>
      <c r="L7" s="7" t="s">
        <v>461</v>
      </c>
      <c r="M7" s="7" t="s">
        <v>216</v>
      </c>
      <c r="N7" s="7" t="s">
        <v>213</v>
      </c>
      <c r="O7" s="7" t="s">
        <v>216</v>
      </c>
      <c r="P7" s="7" t="s">
        <v>24</v>
      </c>
      <c r="Q7" s="7" t="s">
        <v>216</v>
      </c>
      <c r="R7" s="7" t="s">
        <v>215</v>
      </c>
      <c r="S7" s="7" t="s">
        <v>216</v>
      </c>
      <c r="T7" s="47"/>
    </row>
    <row r="8" spans="1:20" x14ac:dyDescent="0.25">
      <c r="A8" s="160">
        <v>70</v>
      </c>
      <c r="B8" s="162">
        <v>24.8</v>
      </c>
      <c r="C8" s="161">
        <v>70</v>
      </c>
      <c r="D8" s="163">
        <v>0.1052</v>
      </c>
      <c r="E8" s="161">
        <v>70</v>
      </c>
      <c r="F8" s="162">
        <v>29200</v>
      </c>
      <c r="G8" s="161">
        <v>100</v>
      </c>
      <c r="H8" s="163">
        <v>7.0600000000000002E-6</v>
      </c>
      <c r="I8" s="161">
        <v>0</v>
      </c>
      <c r="J8" s="166">
        <v>0.3</v>
      </c>
      <c r="K8" s="160">
        <v>70</v>
      </c>
      <c r="L8" s="162">
        <v>8.1</v>
      </c>
      <c r="M8" s="164">
        <v>70</v>
      </c>
      <c r="N8" s="163">
        <v>0.1158</v>
      </c>
      <c r="O8" s="164">
        <v>68</v>
      </c>
      <c r="P8" s="162">
        <v>22045.7</v>
      </c>
      <c r="Q8" s="164">
        <v>100</v>
      </c>
      <c r="R8" s="163">
        <v>8.5499999999999995E-6</v>
      </c>
      <c r="S8" s="161">
        <v>0</v>
      </c>
      <c r="T8" s="166">
        <v>0.3</v>
      </c>
    </row>
    <row r="9" spans="1:20" x14ac:dyDescent="0.25">
      <c r="A9" s="160">
        <v>100</v>
      </c>
      <c r="B9" s="162">
        <v>25</v>
      </c>
      <c r="C9" s="161">
        <v>100</v>
      </c>
      <c r="D9" s="163">
        <v>0.1072</v>
      </c>
      <c r="E9" s="161">
        <v>200</v>
      </c>
      <c r="F9" s="162">
        <v>28500</v>
      </c>
      <c r="G9" s="161">
        <v>150</v>
      </c>
      <c r="H9" s="163">
        <v>7.1600000000000001E-6</v>
      </c>
      <c r="I9" s="161">
        <v>1000</v>
      </c>
      <c r="J9" s="166">
        <v>0.3</v>
      </c>
      <c r="K9" s="160">
        <v>100</v>
      </c>
      <c r="L9" s="162">
        <v>8.4</v>
      </c>
      <c r="M9" s="164">
        <v>100</v>
      </c>
      <c r="N9" s="163">
        <v>0.11849999999999999</v>
      </c>
      <c r="O9" s="164">
        <v>302</v>
      </c>
      <c r="P9" s="162">
        <v>20160.2</v>
      </c>
      <c r="Q9" s="164">
        <v>150</v>
      </c>
      <c r="R9" s="163">
        <v>8.67E-6</v>
      </c>
      <c r="S9" s="161">
        <v>1000</v>
      </c>
      <c r="T9" s="166">
        <v>0.3</v>
      </c>
    </row>
    <row r="10" spans="1:20" x14ac:dyDescent="0.25">
      <c r="A10" s="160">
        <v>150</v>
      </c>
      <c r="B10" s="162">
        <v>25.1</v>
      </c>
      <c r="C10" s="161">
        <v>150</v>
      </c>
      <c r="D10" s="163">
        <v>0.1101</v>
      </c>
      <c r="E10" s="161">
        <v>300</v>
      </c>
      <c r="F10" s="162">
        <v>28000</v>
      </c>
      <c r="G10" s="161">
        <v>200</v>
      </c>
      <c r="H10" s="163">
        <v>7.25E-6</v>
      </c>
      <c r="K10" s="160">
        <v>150</v>
      </c>
      <c r="L10" s="162">
        <v>8.6</v>
      </c>
      <c r="M10" s="164">
        <v>150</v>
      </c>
      <c r="N10" s="163">
        <v>0.1196</v>
      </c>
      <c r="O10" s="164">
        <v>482</v>
      </c>
      <c r="P10" s="162">
        <v>18419.8</v>
      </c>
      <c r="Q10" s="164">
        <v>200</v>
      </c>
      <c r="R10" s="163">
        <v>8.7900000000000005E-6</v>
      </c>
    </row>
    <row r="11" spans="1:20" x14ac:dyDescent="0.25">
      <c r="A11" s="160">
        <v>200</v>
      </c>
      <c r="B11" s="162">
        <v>25.2</v>
      </c>
      <c r="C11" s="161">
        <v>200</v>
      </c>
      <c r="D11" s="163">
        <v>0.1135</v>
      </c>
      <c r="E11" s="161">
        <v>400</v>
      </c>
      <c r="F11" s="162">
        <v>27400</v>
      </c>
      <c r="G11" s="161">
        <v>250</v>
      </c>
      <c r="H11" s="163">
        <v>7.34E-6</v>
      </c>
      <c r="K11" s="160">
        <v>200</v>
      </c>
      <c r="L11" s="162">
        <v>8.8000000000000007</v>
      </c>
      <c r="M11" s="164">
        <v>200</v>
      </c>
      <c r="N11" s="163">
        <v>0.1208</v>
      </c>
      <c r="Q11" s="164">
        <v>250</v>
      </c>
      <c r="R11" s="163">
        <v>8.8999999999999995E-6</v>
      </c>
    </row>
    <row r="12" spans="1:20" x14ac:dyDescent="0.25">
      <c r="A12" s="160">
        <v>250</v>
      </c>
      <c r="B12" s="162">
        <v>25.2</v>
      </c>
      <c r="C12" s="161">
        <v>250</v>
      </c>
      <c r="D12" s="163">
        <v>0.1166</v>
      </c>
      <c r="E12" s="161">
        <v>500</v>
      </c>
      <c r="F12" s="162">
        <v>27000</v>
      </c>
      <c r="G12" s="161">
        <v>300</v>
      </c>
      <c r="H12" s="163">
        <v>7.43E-6</v>
      </c>
      <c r="K12" s="160">
        <v>250</v>
      </c>
      <c r="L12" s="162">
        <v>9.1</v>
      </c>
      <c r="M12" s="164">
        <v>250</v>
      </c>
      <c r="N12" s="163">
        <v>0.1232</v>
      </c>
      <c r="Q12" s="164">
        <v>300</v>
      </c>
      <c r="R12" s="163">
        <v>9.0000000000000002E-6</v>
      </c>
    </row>
    <row r="13" spans="1:20" x14ac:dyDescent="0.25">
      <c r="A13" s="160">
        <v>300</v>
      </c>
      <c r="B13" s="162">
        <v>25.1</v>
      </c>
      <c r="C13" s="161">
        <v>300</v>
      </c>
      <c r="D13" s="163">
        <v>0.11940000000000001</v>
      </c>
      <c r="E13" s="161">
        <v>600</v>
      </c>
      <c r="F13" s="162">
        <v>26400</v>
      </c>
      <c r="G13" s="161">
        <v>350</v>
      </c>
      <c r="H13" s="163">
        <v>7.5000000000000002E-6</v>
      </c>
      <c r="K13" s="160">
        <v>300</v>
      </c>
      <c r="L13" s="162">
        <v>9.4</v>
      </c>
      <c r="M13" s="164">
        <v>300</v>
      </c>
      <c r="N13" s="163">
        <v>0.12559999999999999</v>
      </c>
      <c r="Q13" s="164">
        <v>350</v>
      </c>
      <c r="R13" s="163">
        <v>9.0999999999999993E-6</v>
      </c>
    </row>
    <row r="14" spans="1:20" x14ac:dyDescent="0.25">
      <c r="A14" s="160">
        <v>350</v>
      </c>
      <c r="B14" s="162">
        <v>25</v>
      </c>
      <c r="C14" s="161">
        <v>350</v>
      </c>
      <c r="D14" s="163">
        <v>0.12230000000000001</v>
      </c>
      <c r="E14" s="161">
        <v>700</v>
      </c>
      <c r="F14" s="162">
        <v>25300</v>
      </c>
      <c r="G14" s="161">
        <v>400</v>
      </c>
      <c r="H14" s="163">
        <v>7.5800000000000003E-6</v>
      </c>
      <c r="K14" s="160">
        <v>350</v>
      </c>
      <c r="L14" s="162">
        <v>9.6</v>
      </c>
      <c r="M14" s="164">
        <v>350</v>
      </c>
      <c r="N14" s="163">
        <v>0.1258</v>
      </c>
      <c r="Q14" s="164">
        <v>400</v>
      </c>
      <c r="R14" s="163">
        <v>9.1900000000000001E-6</v>
      </c>
    </row>
    <row r="15" spans="1:20" x14ac:dyDescent="0.25">
      <c r="A15" s="160">
        <v>400</v>
      </c>
      <c r="B15" s="162">
        <v>25.1</v>
      </c>
      <c r="C15" s="161">
        <v>400</v>
      </c>
      <c r="D15" s="163">
        <v>0.12670000000000001</v>
      </c>
      <c r="E15" s="161">
        <v>800</v>
      </c>
      <c r="F15" s="162">
        <v>23900</v>
      </c>
      <c r="G15" s="161">
        <v>450</v>
      </c>
      <c r="H15" s="163">
        <v>7.6299999999999998E-6</v>
      </c>
      <c r="K15" s="160">
        <v>400</v>
      </c>
      <c r="L15" s="162">
        <v>9.9</v>
      </c>
      <c r="M15" s="164">
        <v>400</v>
      </c>
      <c r="N15" s="163">
        <v>0.12809999999999999</v>
      </c>
      <c r="Q15" s="164">
        <v>450</v>
      </c>
      <c r="R15" s="163">
        <v>9.2799999999999992E-6</v>
      </c>
    </row>
    <row r="16" spans="1:20" x14ac:dyDescent="0.25">
      <c r="A16" s="160">
        <v>450</v>
      </c>
      <c r="B16" s="162">
        <v>24.6</v>
      </c>
      <c r="C16" s="161">
        <v>450</v>
      </c>
      <c r="D16" s="163">
        <v>0.12770000000000001</v>
      </c>
      <c r="G16" s="161">
        <v>500</v>
      </c>
      <c r="H16" s="163">
        <v>7.7000000000000008E-6</v>
      </c>
      <c r="K16" s="160">
        <v>450</v>
      </c>
      <c r="L16" s="162">
        <v>10.1</v>
      </c>
      <c r="M16" s="164">
        <v>450</v>
      </c>
      <c r="N16" s="163">
        <v>0.12909999999999999</v>
      </c>
      <c r="Q16" s="164">
        <v>500</v>
      </c>
      <c r="R16" s="163">
        <v>9.3700000000000001E-6</v>
      </c>
    </row>
    <row r="17" spans="1:18" x14ac:dyDescent="0.25">
      <c r="A17" s="160">
        <v>500</v>
      </c>
      <c r="B17" s="162">
        <v>24.3</v>
      </c>
      <c r="C17" s="161">
        <v>500</v>
      </c>
      <c r="D17" s="163">
        <v>0.13039999999999999</v>
      </c>
      <c r="G17" s="161">
        <v>550</v>
      </c>
      <c r="H17" s="163">
        <v>7.7700000000000001E-6</v>
      </c>
      <c r="K17" s="160">
        <v>500</v>
      </c>
      <c r="L17" s="162">
        <v>10.4</v>
      </c>
      <c r="M17" s="164">
        <v>500</v>
      </c>
      <c r="N17" s="163">
        <v>0.1305</v>
      </c>
      <c r="Q17" s="164">
        <v>550</v>
      </c>
      <c r="R17" s="163">
        <v>9.4499999999999993E-6</v>
      </c>
    </row>
    <row r="18" spans="1:18" x14ac:dyDescent="0.25">
      <c r="A18" s="160">
        <v>550</v>
      </c>
      <c r="B18" s="162">
        <v>24</v>
      </c>
      <c r="C18" s="161">
        <v>550</v>
      </c>
      <c r="D18" s="163">
        <v>0.1326</v>
      </c>
      <c r="G18" s="161">
        <v>600</v>
      </c>
      <c r="H18" s="163">
        <v>7.8299999999999996E-6</v>
      </c>
      <c r="K18" s="160">
        <v>550</v>
      </c>
      <c r="L18" s="162">
        <v>10.6</v>
      </c>
      <c r="M18" s="164">
        <v>550</v>
      </c>
      <c r="N18" s="163">
        <v>0.13059999999999999</v>
      </c>
      <c r="Q18" s="164">
        <v>600</v>
      </c>
      <c r="R18" s="163">
        <v>9.5300000000000002E-6</v>
      </c>
    </row>
    <row r="19" spans="1:18" x14ac:dyDescent="0.25">
      <c r="A19" s="160">
        <v>600</v>
      </c>
      <c r="B19" s="162">
        <v>23.7</v>
      </c>
      <c r="C19" s="161">
        <v>600</v>
      </c>
      <c r="D19" s="163">
        <v>0.13500000000000001</v>
      </c>
      <c r="G19" s="161">
        <v>650</v>
      </c>
      <c r="H19" s="163">
        <v>7.9000000000000006E-6</v>
      </c>
      <c r="K19" s="160">
        <v>600</v>
      </c>
      <c r="L19" s="162">
        <v>10.9</v>
      </c>
      <c r="M19" s="164">
        <v>600</v>
      </c>
      <c r="N19" s="163">
        <v>0.13270000000000001</v>
      </c>
      <c r="Q19" s="164">
        <v>650</v>
      </c>
      <c r="R19" s="163">
        <v>9.6099999999999995E-6</v>
      </c>
    </row>
    <row r="20" spans="1:18" x14ac:dyDescent="0.25">
      <c r="A20" s="160">
        <v>650</v>
      </c>
      <c r="B20" s="162">
        <v>23.4</v>
      </c>
      <c r="C20" s="161">
        <v>650</v>
      </c>
      <c r="D20" s="163">
        <v>0.13750000000000001</v>
      </c>
      <c r="G20" s="161">
        <v>700</v>
      </c>
      <c r="H20" s="163">
        <v>7.9400000000000002E-6</v>
      </c>
      <c r="K20" s="160">
        <v>650</v>
      </c>
      <c r="L20" s="162">
        <v>11.1</v>
      </c>
      <c r="M20" s="164">
        <v>650</v>
      </c>
      <c r="N20" s="163">
        <v>0.13350000000000001</v>
      </c>
      <c r="Q20" s="164">
        <v>700</v>
      </c>
      <c r="R20" s="163">
        <v>9.6900000000000004E-6</v>
      </c>
    </row>
    <row r="21" spans="1:18" x14ac:dyDescent="0.25">
      <c r="A21" s="160">
        <v>700</v>
      </c>
      <c r="B21" s="162">
        <v>23</v>
      </c>
      <c r="C21" s="161">
        <v>700</v>
      </c>
      <c r="D21" s="163">
        <v>0.1404</v>
      </c>
      <c r="G21" s="161">
        <v>750</v>
      </c>
      <c r="H21" s="163">
        <v>7.9999999999999996E-6</v>
      </c>
      <c r="K21" s="160">
        <v>700</v>
      </c>
      <c r="L21" s="162">
        <v>11.4</v>
      </c>
      <c r="M21" s="164">
        <v>700</v>
      </c>
      <c r="N21" s="163">
        <v>0.1348</v>
      </c>
      <c r="Q21" s="164">
        <v>750</v>
      </c>
      <c r="R21" s="163">
        <v>9.7599999999999997E-6</v>
      </c>
    </row>
    <row r="22" spans="1:18" x14ac:dyDescent="0.25">
      <c r="A22" s="160">
        <v>750</v>
      </c>
      <c r="B22" s="162">
        <v>22.6</v>
      </c>
      <c r="C22" s="161">
        <v>750</v>
      </c>
      <c r="D22" s="163">
        <v>0.14349999999999999</v>
      </c>
      <c r="G22" s="161">
        <v>800</v>
      </c>
      <c r="H22" s="163">
        <v>8.0499999999999992E-6</v>
      </c>
      <c r="K22" s="160">
        <v>750</v>
      </c>
      <c r="L22" s="162">
        <v>11.6</v>
      </c>
      <c r="M22" s="164">
        <v>750</v>
      </c>
      <c r="N22" s="163">
        <v>0.1356</v>
      </c>
      <c r="Q22" s="164">
        <v>800</v>
      </c>
      <c r="R22" s="163">
        <v>9.8200000000000008E-6</v>
      </c>
    </row>
    <row r="23" spans="1:18" x14ac:dyDescent="0.25">
      <c r="A23" s="160">
        <v>800</v>
      </c>
      <c r="B23" s="162">
        <v>22.2</v>
      </c>
      <c r="C23" s="161">
        <v>800</v>
      </c>
      <c r="D23" s="163">
        <v>0.1474</v>
      </c>
      <c r="K23" s="160">
        <v>800</v>
      </c>
      <c r="L23" s="162">
        <v>11.9</v>
      </c>
      <c r="M23" s="164">
        <v>800</v>
      </c>
      <c r="N23" s="163">
        <v>0.13669999999999999</v>
      </c>
    </row>
  </sheetData>
  <sheetProtection sheet="1" objects="1" scenarios="1"/>
  <mergeCells count="5">
    <mergeCell ref="A1:J1"/>
    <mergeCell ref="A2:J2"/>
    <mergeCell ref="K2:T2"/>
    <mergeCell ref="A4:J4"/>
    <mergeCell ref="K4:T4"/>
  </mergeCells>
  <dataValidations count="5">
    <dataValidation type="list" allowBlank="1" showInputMessage="1" showErrorMessage="1" sqref="O7 A7 C7 D3 G7 E7 I7 K7 M7 N3 Q7 S7" xr:uid="{74752301-80A6-41EC-8D70-FCB0B724DCB9}">
      <formula1>"C,K,F,R"</formula1>
    </dataValidation>
    <dataValidation type="list" allowBlank="1" showInputMessage="1" showErrorMessage="1" sqref="B7 L7" xr:uid="{B356ECD6-98BF-4C2D-8CAE-8E9F6306DCE9}">
      <formula1>"cal/(s cm K),W/(cm K),W/(m K),BTU/(h ft F),BTU/(h ft R)"</formula1>
    </dataValidation>
    <dataValidation type="list" allowBlank="1" showInputMessage="1" showErrorMessage="1" sqref="D7 N7" xr:uid="{51AEC280-000B-4213-9226-39087BB76BB1}">
      <formula1>"BTU/(lbm R),J/(kg K),BTU/(lbm F)"</formula1>
    </dataValidation>
    <dataValidation type="list" allowBlank="1" showInputMessage="1" showErrorMessage="1" sqref="F7 P7" xr:uid="{2D6B17A0-D8C2-4290-96AD-B4F962315789}">
      <formula1>"atm,bar,dyn/cm^2,Pa,kPa,MPa,kp/cm^2,psi,ksi"</formula1>
    </dataValidation>
    <dataValidation type="list" allowBlank="1" showInputMessage="1" showErrorMessage="1" sqref="H7 R7" xr:uid="{C7B073AB-AAD0-418A-9C43-5A148863A0AF}">
      <formula1>"1/K,1/F,1/R"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AVLoad_Transients">
    <tabColor rgb="FFFFC000"/>
  </sheetPr>
  <dimension ref="A1:S1008"/>
  <sheetViews>
    <sheetView workbookViewId="0">
      <selection activeCell="B7" sqref="B7:F1048576"/>
    </sheetView>
  </sheetViews>
  <sheetFormatPr defaultColWidth="0" defaultRowHeight="15" x14ac:dyDescent="0.25"/>
  <cols>
    <col min="1" max="1" width="14.28515625" style="53" customWidth="1"/>
    <col min="2" max="2" width="14.28515625" style="79" customWidth="1"/>
    <col min="3" max="3" width="14.28515625" style="168" customWidth="1"/>
    <col min="4" max="4" width="14.28515625" style="169" customWidth="1"/>
    <col min="5" max="5" width="14.28515625" style="170" customWidth="1"/>
    <col min="6" max="6" width="9.140625" style="80" customWidth="1"/>
    <col min="7" max="7" width="13.5703125" style="171" customWidth="1"/>
    <col min="8" max="11" width="13.5703125" style="172" customWidth="1"/>
    <col min="12" max="12" width="13.5703125" style="173" customWidth="1"/>
    <col min="13" max="13" width="13.5703125" style="171" customWidth="1"/>
    <col min="14" max="17" width="13.5703125" style="172" customWidth="1"/>
    <col min="18" max="18" width="13.5703125" style="173" customWidth="1"/>
    <col min="19" max="19" width="9.140625" style="80" customWidth="1"/>
    <col min="20" max="16384" width="9.140625" style="80" hidden="1"/>
  </cols>
  <sheetData>
    <row r="1" spans="1:18" s="15" customFormat="1" x14ac:dyDescent="0.25">
      <c r="A1" s="48" t="s">
        <v>53</v>
      </c>
      <c r="B1" s="54"/>
      <c r="C1" s="55"/>
      <c r="D1" s="55"/>
      <c r="E1" s="55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</row>
    <row r="2" spans="1:18" s="15" customFormat="1" x14ac:dyDescent="0.25">
      <c r="A2" s="49" t="s">
        <v>50</v>
      </c>
      <c r="B2" s="56"/>
      <c r="C2" s="57"/>
      <c r="D2" s="57"/>
      <c r="E2" s="57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</row>
    <row r="3" spans="1:18" s="15" customFormat="1" ht="15.75" thickBot="1" x14ac:dyDescent="0.3">
      <c r="A3" s="50" t="s">
        <v>51</v>
      </c>
      <c r="B3" s="58"/>
      <c r="C3" s="16"/>
      <c r="D3" s="16"/>
      <c r="E3" s="16"/>
    </row>
    <row r="4" spans="1:18" s="15" customFormat="1" ht="15.75" thickBot="1" x14ac:dyDescent="0.3">
      <c r="A4" s="49"/>
      <c r="C4" s="59"/>
      <c r="D4" s="60"/>
      <c r="E4" s="61"/>
      <c r="G4" s="62" t="str">
        <f>IF(LEFT(A4,7)="FAVLoad","FAVLoad Transient #"&amp;VALUE(RIGHT(A4,LEN(A4)-FIND("#",A4)))+1,"FAVLoad Transient #1")</f>
        <v>FAVLoad Transient #1</v>
      </c>
      <c r="H4" s="63"/>
      <c r="I4" s="63"/>
      <c r="J4" s="63"/>
      <c r="K4" s="63"/>
      <c r="L4" s="64"/>
      <c r="M4" s="62" t="str">
        <f>IF(LEFT(G4,7)="FAVLoad","FAVLoad Transient #"&amp;VALUE(RIGHT(G4,LEN(G4)-FIND("#",G4)))+1,"FAVLoad Transient #1")</f>
        <v>FAVLoad Transient #2</v>
      </c>
      <c r="N4" s="63"/>
      <c r="O4" s="63"/>
      <c r="P4" s="63"/>
      <c r="Q4" s="63"/>
      <c r="R4" s="64"/>
    </row>
    <row r="5" spans="1:18" s="77" customFormat="1" ht="15.75" thickBot="1" x14ac:dyDescent="0.3">
      <c r="A5" s="51"/>
      <c r="B5" s="51"/>
      <c r="C5" s="11" t="s">
        <v>216</v>
      </c>
      <c r="D5" s="12" t="s">
        <v>216</v>
      </c>
      <c r="E5" s="78" t="s">
        <v>48</v>
      </c>
      <c r="F5" s="2"/>
      <c r="G5" s="73" t="s">
        <v>45</v>
      </c>
      <c r="H5" s="74">
        <f>INT(COUNT(G8:H1048576)/2)</f>
        <v>2</v>
      </c>
      <c r="I5" s="75" t="s">
        <v>46</v>
      </c>
      <c r="J5" s="74">
        <f>INT(COUNT(I8:J1048576)/2)</f>
        <v>3</v>
      </c>
      <c r="K5" s="75" t="s">
        <v>47</v>
      </c>
      <c r="L5" s="76">
        <f>INT(COUNT(K8:L1048576)/2)</f>
        <v>601</v>
      </c>
      <c r="M5" s="73" t="s">
        <v>45</v>
      </c>
      <c r="N5" s="74">
        <f>INT(COUNT(M8:N1048576)/2)</f>
        <v>2</v>
      </c>
      <c r="O5" s="75" t="s">
        <v>46</v>
      </c>
      <c r="P5" s="74">
        <f>INT(COUNT(O8:P1048576)/2)</f>
        <v>0</v>
      </c>
      <c r="Q5" s="75" t="s">
        <v>47</v>
      </c>
      <c r="R5" s="76">
        <f>INT(COUNT(Q8:R1048576)/2)</f>
        <v>1001</v>
      </c>
    </row>
    <row r="6" spans="1:18" s="69" customFormat="1" ht="60.75" thickBot="1" x14ac:dyDescent="0.3">
      <c r="A6" s="52" t="s">
        <v>20</v>
      </c>
      <c r="B6" s="65" t="s">
        <v>21</v>
      </c>
      <c r="C6" s="66" t="s">
        <v>27</v>
      </c>
      <c r="D6" s="67" t="s">
        <v>28</v>
      </c>
      <c r="E6" s="68" t="s">
        <v>49</v>
      </c>
      <c r="G6" s="70" t="s">
        <v>6</v>
      </c>
      <c r="H6" s="71" t="s">
        <v>22</v>
      </c>
      <c r="I6" s="71" t="s">
        <v>6</v>
      </c>
      <c r="J6" s="71" t="s">
        <v>25</v>
      </c>
      <c r="K6" s="71" t="s">
        <v>6</v>
      </c>
      <c r="L6" s="72" t="s">
        <v>26</v>
      </c>
      <c r="M6" s="70" t="s">
        <v>6</v>
      </c>
      <c r="N6" s="71" t="s">
        <v>22</v>
      </c>
      <c r="O6" s="71" t="s">
        <v>6</v>
      </c>
      <c r="P6" s="71" t="s">
        <v>25</v>
      </c>
      <c r="Q6" s="71" t="s">
        <v>6</v>
      </c>
      <c r="R6" s="72" t="s">
        <v>26</v>
      </c>
    </row>
    <row r="7" spans="1:18" ht="15.75" thickBot="1" x14ac:dyDescent="0.3">
      <c r="A7" s="53">
        <v>1</v>
      </c>
      <c r="B7" s="79">
        <v>11</v>
      </c>
      <c r="G7" s="81" t="s">
        <v>229</v>
      </c>
      <c r="H7" s="82" t="s">
        <v>217</v>
      </c>
      <c r="I7" s="82" t="s">
        <v>229</v>
      </c>
      <c r="J7" s="9" t="s">
        <v>216</v>
      </c>
      <c r="K7" s="82" t="s">
        <v>229</v>
      </c>
      <c r="L7" s="10" t="s">
        <v>24</v>
      </c>
      <c r="M7" s="81" t="s">
        <v>229</v>
      </c>
      <c r="N7" s="82" t="s">
        <v>217</v>
      </c>
      <c r="O7" s="82" t="s">
        <v>229</v>
      </c>
      <c r="P7" s="9" t="s">
        <v>216</v>
      </c>
      <c r="Q7" s="82" t="s">
        <v>229</v>
      </c>
      <c r="R7" s="10" t="s">
        <v>24</v>
      </c>
    </row>
    <row r="8" spans="1:18" x14ac:dyDescent="0.25">
      <c r="A8" s="53">
        <v>2</v>
      </c>
      <c r="B8" s="79">
        <v>22</v>
      </c>
      <c r="C8" s="168">
        <v>544.79999999999995</v>
      </c>
      <c r="D8" s="169">
        <v>50.4</v>
      </c>
      <c r="E8" s="170">
        <v>2.5000000000000001E-2</v>
      </c>
      <c r="G8" s="171">
        <v>0</v>
      </c>
      <c r="H8" s="172">
        <v>10000</v>
      </c>
      <c r="I8" s="172">
        <v>0</v>
      </c>
      <c r="J8" s="172">
        <v>532</v>
      </c>
      <c r="K8" s="172">
        <v>0</v>
      </c>
      <c r="L8" s="173">
        <v>2.1</v>
      </c>
      <c r="M8" s="171">
        <v>0</v>
      </c>
      <c r="N8" s="172">
        <v>10000</v>
      </c>
      <c r="Q8" s="172">
        <v>0</v>
      </c>
      <c r="R8" s="173">
        <v>2.302</v>
      </c>
    </row>
    <row r="9" spans="1:18" x14ac:dyDescent="0.25">
      <c r="G9" s="171">
        <v>600</v>
      </c>
      <c r="H9" s="172">
        <v>10000</v>
      </c>
      <c r="I9" s="172">
        <v>554.4</v>
      </c>
      <c r="J9" s="172">
        <v>70</v>
      </c>
      <c r="K9" s="172">
        <v>1</v>
      </c>
      <c r="L9" s="173">
        <v>2.1</v>
      </c>
      <c r="M9" s="171">
        <v>600</v>
      </c>
      <c r="N9" s="172">
        <v>10000</v>
      </c>
      <c r="Q9" s="172">
        <v>0.25</v>
      </c>
      <c r="R9" s="173">
        <v>1.2030000000000001</v>
      </c>
    </row>
    <row r="10" spans="1:18" x14ac:dyDescent="0.25">
      <c r="I10" s="172">
        <v>600</v>
      </c>
      <c r="J10" s="172">
        <v>70</v>
      </c>
      <c r="K10" s="172">
        <v>2</v>
      </c>
      <c r="L10" s="173">
        <v>2.1</v>
      </c>
      <c r="Q10" s="172">
        <v>0.5</v>
      </c>
      <c r="R10" s="173">
        <v>1.0209999999999999</v>
      </c>
    </row>
    <row r="11" spans="1:18" x14ac:dyDescent="0.25">
      <c r="K11" s="172">
        <v>3</v>
      </c>
      <c r="L11" s="173">
        <v>2.1</v>
      </c>
      <c r="Q11" s="172">
        <v>0.75</v>
      </c>
      <c r="R11" s="173">
        <v>0.997</v>
      </c>
    </row>
    <row r="12" spans="1:18" x14ac:dyDescent="0.25">
      <c r="K12" s="172">
        <v>4</v>
      </c>
      <c r="L12" s="173">
        <v>2.1</v>
      </c>
      <c r="Q12" s="172">
        <v>1</v>
      </c>
      <c r="R12" s="173">
        <v>0.97799999999999998</v>
      </c>
    </row>
    <row r="13" spans="1:18" x14ac:dyDescent="0.25">
      <c r="K13" s="172">
        <v>5</v>
      </c>
      <c r="L13" s="173">
        <v>2.1</v>
      </c>
      <c r="Q13" s="172">
        <v>1.25</v>
      </c>
      <c r="R13" s="173">
        <v>0.96</v>
      </c>
    </row>
    <row r="14" spans="1:18" x14ac:dyDescent="0.25">
      <c r="K14" s="172">
        <v>6</v>
      </c>
      <c r="L14" s="173">
        <v>2.1</v>
      </c>
      <c r="Q14" s="172">
        <v>1.5</v>
      </c>
      <c r="R14" s="173">
        <v>0.93400000000000005</v>
      </c>
    </row>
    <row r="15" spans="1:18" x14ac:dyDescent="0.25">
      <c r="K15" s="172">
        <v>7</v>
      </c>
      <c r="L15" s="173">
        <v>2.1</v>
      </c>
      <c r="Q15" s="172">
        <v>1.75</v>
      </c>
      <c r="R15" s="173">
        <v>0.90500000000000003</v>
      </c>
    </row>
    <row r="16" spans="1:18" x14ac:dyDescent="0.25">
      <c r="K16" s="172">
        <v>8</v>
      </c>
      <c r="L16" s="173">
        <v>2.1</v>
      </c>
      <c r="Q16" s="172">
        <v>2</v>
      </c>
      <c r="R16" s="173">
        <v>0.87</v>
      </c>
    </row>
    <row r="17" spans="11:18" x14ac:dyDescent="0.25">
      <c r="K17" s="172">
        <v>9</v>
      </c>
      <c r="L17" s="173">
        <v>2.1</v>
      </c>
      <c r="Q17" s="172">
        <v>2.25</v>
      </c>
      <c r="R17" s="173">
        <v>0.82699999999999996</v>
      </c>
    </row>
    <row r="18" spans="11:18" x14ac:dyDescent="0.25">
      <c r="K18" s="172">
        <v>10</v>
      </c>
      <c r="L18" s="173">
        <v>2.1</v>
      </c>
      <c r="Q18" s="172">
        <v>2.5</v>
      </c>
      <c r="R18" s="173">
        <v>0.76800000000000002</v>
      </c>
    </row>
    <row r="19" spans="11:18" x14ac:dyDescent="0.25">
      <c r="K19" s="172">
        <v>11</v>
      </c>
      <c r="L19" s="173">
        <v>2.1</v>
      </c>
      <c r="Q19" s="172">
        <v>2.75</v>
      </c>
      <c r="R19" s="173">
        <v>0.70399999999999996</v>
      </c>
    </row>
    <row r="20" spans="11:18" x14ac:dyDescent="0.25">
      <c r="K20" s="172">
        <v>12</v>
      </c>
      <c r="L20" s="173">
        <v>2.1</v>
      </c>
      <c r="Q20" s="172">
        <v>3</v>
      </c>
      <c r="R20" s="173">
        <v>0.63700000000000001</v>
      </c>
    </row>
    <row r="21" spans="11:18" x14ac:dyDescent="0.25">
      <c r="K21" s="172">
        <v>13</v>
      </c>
      <c r="L21" s="173">
        <v>2.1</v>
      </c>
      <c r="Q21" s="172">
        <v>3.25</v>
      </c>
      <c r="R21" s="173">
        <v>0.58099999999999996</v>
      </c>
    </row>
    <row r="22" spans="11:18" x14ac:dyDescent="0.25">
      <c r="K22" s="172">
        <v>14</v>
      </c>
      <c r="L22" s="173">
        <v>2.1</v>
      </c>
      <c r="Q22" s="172">
        <v>3.5</v>
      </c>
      <c r="R22" s="173">
        <v>0.497</v>
      </c>
    </row>
    <row r="23" spans="11:18" x14ac:dyDescent="0.25">
      <c r="K23" s="172">
        <v>15</v>
      </c>
      <c r="L23" s="173">
        <v>2.1</v>
      </c>
      <c r="Q23" s="172">
        <v>3.75</v>
      </c>
      <c r="R23" s="173">
        <v>0.41699999999999998</v>
      </c>
    </row>
    <row r="24" spans="11:18" x14ac:dyDescent="0.25">
      <c r="K24" s="172">
        <v>16</v>
      </c>
      <c r="L24" s="173">
        <v>2.1</v>
      </c>
      <c r="Q24" s="172">
        <v>4</v>
      </c>
      <c r="R24" s="173">
        <v>0.316</v>
      </c>
    </row>
    <row r="25" spans="11:18" x14ac:dyDescent="0.25">
      <c r="K25" s="172">
        <v>17</v>
      </c>
      <c r="L25" s="173">
        <v>2.1</v>
      </c>
      <c r="Q25" s="172">
        <v>4.25</v>
      </c>
      <c r="R25" s="173">
        <v>0.27300000000000002</v>
      </c>
    </row>
    <row r="26" spans="11:18" x14ac:dyDescent="0.25">
      <c r="K26" s="172">
        <v>18</v>
      </c>
      <c r="L26" s="173">
        <v>2.1</v>
      </c>
      <c r="Q26" s="172">
        <v>4.5</v>
      </c>
      <c r="R26" s="173">
        <v>0.249</v>
      </c>
    </row>
    <row r="27" spans="11:18" x14ac:dyDescent="0.25">
      <c r="K27" s="172">
        <v>19</v>
      </c>
      <c r="L27" s="173">
        <v>2.1</v>
      </c>
      <c r="Q27" s="172">
        <v>4.75</v>
      </c>
      <c r="R27" s="173">
        <v>0.24099999999999999</v>
      </c>
    </row>
    <row r="28" spans="11:18" x14ac:dyDescent="0.25">
      <c r="K28" s="172">
        <v>20</v>
      </c>
      <c r="L28" s="173">
        <v>2.1</v>
      </c>
      <c r="Q28" s="172">
        <v>5</v>
      </c>
      <c r="R28" s="173">
        <v>0.222</v>
      </c>
    </row>
    <row r="29" spans="11:18" x14ac:dyDescent="0.25">
      <c r="K29" s="172">
        <v>21</v>
      </c>
      <c r="L29" s="173">
        <v>2.1</v>
      </c>
      <c r="Q29" s="172">
        <v>5.25</v>
      </c>
      <c r="R29" s="173">
        <v>0.22600000000000001</v>
      </c>
    </row>
    <row r="30" spans="11:18" x14ac:dyDescent="0.25">
      <c r="K30" s="172">
        <v>22</v>
      </c>
      <c r="L30" s="173">
        <v>2.1</v>
      </c>
      <c r="Q30" s="172">
        <v>5.5</v>
      </c>
      <c r="R30" s="173">
        <v>0.20899999999999999</v>
      </c>
    </row>
    <row r="31" spans="11:18" x14ac:dyDescent="0.25">
      <c r="K31" s="172">
        <v>23</v>
      </c>
      <c r="L31" s="173">
        <v>2.1</v>
      </c>
      <c r="Q31" s="172">
        <v>5.75</v>
      </c>
      <c r="R31" s="173">
        <v>0.19800000000000001</v>
      </c>
    </row>
    <row r="32" spans="11:18" x14ac:dyDescent="0.25">
      <c r="K32" s="172">
        <v>24</v>
      </c>
      <c r="L32" s="173">
        <v>2.1</v>
      </c>
      <c r="Q32" s="172">
        <v>6</v>
      </c>
      <c r="R32" s="173">
        <v>0.19600000000000001</v>
      </c>
    </row>
    <row r="33" spans="11:18" x14ac:dyDescent="0.25">
      <c r="K33" s="172">
        <v>25</v>
      </c>
      <c r="L33" s="173">
        <v>2.1</v>
      </c>
      <c r="Q33" s="172">
        <v>6.25</v>
      </c>
      <c r="R33" s="173">
        <v>0.183</v>
      </c>
    </row>
    <row r="34" spans="11:18" x14ac:dyDescent="0.25">
      <c r="K34" s="172">
        <v>26</v>
      </c>
      <c r="L34" s="173">
        <v>2.1</v>
      </c>
      <c r="Q34" s="172">
        <v>6.5</v>
      </c>
      <c r="R34" s="173">
        <v>0.17599999999999999</v>
      </c>
    </row>
    <row r="35" spans="11:18" x14ac:dyDescent="0.25">
      <c r="K35" s="172">
        <v>27</v>
      </c>
      <c r="L35" s="173">
        <v>2.1</v>
      </c>
      <c r="Q35" s="172">
        <v>6.75</v>
      </c>
      <c r="R35" s="173">
        <v>0.17499999999999999</v>
      </c>
    </row>
    <row r="36" spans="11:18" x14ac:dyDescent="0.25">
      <c r="K36" s="172">
        <v>28</v>
      </c>
      <c r="L36" s="173">
        <v>2.1</v>
      </c>
      <c r="Q36" s="172">
        <v>7</v>
      </c>
      <c r="R36" s="173">
        <v>0.16900000000000001</v>
      </c>
    </row>
    <row r="37" spans="11:18" x14ac:dyDescent="0.25">
      <c r="K37" s="172">
        <v>29</v>
      </c>
      <c r="L37" s="173">
        <v>2.1</v>
      </c>
      <c r="Q37" s="172">
        <v>7.25</v>
      </c>
      <c r="R37" s="173">
        <v>0.157</v>
      </c>
    </row>
    <row r="38" spans="11:18" x14ac:dyDescent="0.25">
      <c r="K38" s="172">
        <v>30</v>
      </c>
      <c r="L38" s="173">
        <v>2.1</v>
      </c>
      <c r="Q38" s="172">
        <v>7.5</v>
      </c>
      <c r="R38" s="173">
        <v>0.153</v>
      </c>
    </row>
    <row r="39" spans="11:18" x14ac:dyDescent="0.25">
      <c r="K39" s="172">
        <v>31</v>
      </c>
      <c r="L39" s="173">
        <v>2.1</v>
      </c>
      <c r="Q39" s="172">
        <v>7.75</v>
      </c>
      <c r="R39" s="173">
        <v>0.14799999999999999</v>
      </c>
    </row>
    <row r="40" spans="11:18" x14ac:dyDescent="0.25">
      <c r="K40" s="172">
        <v>32</v>
      </c>
      <c r="L40" s="173">
        <v>2.1</v>
      </c>
      <c r="Q40" s="172">
        <v>8</v>
      </c>
      <c r="R40" s="173">
        <v>0.14299999999999999</v>
      </c>
    </row>
    <row r="41" spans="11:18" x14ac:dyDescent="0.25">
      <c r="K41" s="172">
        <v>33</v>
      </c>
      <c r="L41" s="173">
        <v>2.1</v>
      </c>
      <c r="Q41" s="172">
        <v>8.25</v>
      </c>
      <c r="R41" s="173">
        <v>0.14199999999999999</v>
      </c>
    </row>
    <row r="42" spans="11:18" x14ac:dyDescent="0.25">
      <c r="K42" s="172">
        <v>34</v>
      </c>
      <c r="L42" s="173">
        <v>2.1</v>
      </c>
      <c r="Q42" s="172">
        <v>8.5</v>
      </c>
      <c r="R42" s="173">
        <v>0.13900000000000001</v>
      </c>
    </row>
    <row r="43" spans="11:18" x14ac:dyDescent="0.25">
      <c r="K43" s="172">
        <v>35</v>
      </c>
      <c r="L43" s="173">
        <v>2.1</v>
      </c>
      <c r="Q43" s="172">
        <v>8.75</v>
      </c>
      <c r="R43" s="173">
        <v>0.13900000000000001</v>
      </c>
    </row>
    <row r="44" spans="11:18" x14ac:dyDescent="0.25">
      <c r="K44" s="172">
        <v>36</v>
      </c>
      <c r="L44" s="173">
        <v>2.1</v>
      </c>
      <c r="Q44" s="172">
        <v>9</v>
      </c>
      <c r="R44" s="173">
        <v>0.13700000000000001</v>
      </c>
    </row>
    <row r="45" spans="11:18" x14ac:dyDescent="0.25">
      <c r="K45" s="172">
        <v>37</v>
      </c>
      <c r="L45" s="173">
        <v>2.1</v>
      </c>
      <c r="Q45" s="172">
        <v>9.25</v>
      </c>
      <c r="R45" s="173">
        <v>0.13400000000000001</v>
      </c>
    </row>
    <row r="46" spans="11:18" x14ac:dyDescent="0.25">
      <c r="K46" s="172">
        <v>38</v>
      </c>
      <c r="L46" s="173">
        <v>2.1</v>
      </c>
      <c r="Q46" s="172">
        <v>9.5</v>
      </c>
      <c r="R46" s="173">
        <v>0.13600000000000001</v>
      </c>
    </row>
    <row r="47" spans="11:18" x14ac:dyDescent="0.25">
      <c r="K47" s="172">
        <v>39</v>
      </c>
      <c r="L47" s="173">
        <v>2.1</v>
      </c>
      <c r="Q47" s="172">
        <v>9.75</v>
      </c>
      <c r="R47" s="173">
        <v>0.13700000000000001</v>
      </c>
    </row>
    <row r="48" spans="11:18" x14ac:dyDescent="0.25">
      <c r="K48" s="172">
        <v>40</v>
      </c>
      <c r="L48" s="173">
        <v>2.1</v>
      </c>
      <c r="Q48" s="172">
        <v>10</v>
      </c>
      <c r="R48" s="173">
        <v>0.13500000000000001</v>
      </c>
    </row>
    <row r="49" spans="11:18" x14ac:dyDescent="0.25">
      <c r="K49" s="172">
        <v>41</v>
      </c>
      <c r="L49" s="173">
        <v>2.1</v>
      </c>
      <c r="Q49" s="172">
        <v>10.25</v>
      </c>
      <c r="R49" s="173">
        <v>0.13300000000000001</v>
      </c>
    </row>
    <row r="50" spans="11:18" x14ac:dyDescent="0.25">
      <c r="K50" s="172">
        <v>42</v>
      </c>
      <c r="L50" s="173">
        <v>2.1</v>
      </c>
      <c r="Q50" s="172">
        <v>10.5</v>
      </c>
      <c r="R50" s="173">
        <v>0.129</v>
      </c>
    </row>
    <row r="51" spans="11:18" x14ac:dyDescent="0.25">
      <c r="K51" s="172">
        <v>43</v>
      </c>
      <c r="L51" s="173">
        <v>2.1</v>
      </c>
      <c r="Q51" s="172">
        <v>10.75</v>
      </c>
      <c r="R51" s="173">
        <v>0.125</v>
      </c>
    </row>
    <row r="52" spans="11:18" x14ac:dyDescent="0.25">
      <c r="K52" s="172">
        <v>44</v>
      </c>
      <c r="L52" s="173">
        <v>2.1</v>
      </c>
      <c r="Q52" s="172">
        <v>11</v>
      </c>
      <c r="R52" s="173">
        <v>0.121</v>
      </c>
    </row>
    <row r="53" spans="11:18" x14ac:dyDescent="0.25">
      <c r="K53" s="172">
        <v>45</v>
      </c>
      <c r="L53" s="173">
        <v>2.1</v>
      </c>
      <c r="Q53" s="172">
        <v>11.25</v>
      </c>
      <c r="R53" s="173">
        <v>0.11700000000000001</v>
      </c>
    </row>
    <row r="54" spans="11:18" x14ac:dyDescent="0.25">
      <c r="K54" s="172">
        <v>46</v>
      </c>
      <c r="L54" s="173">
        <v>2.1</v>
      </c>
      <c r="Q54" s="172">
        <v>11.5</v>
      </c>
      <c r="R54" s="173">
        <v>0.113</v>
      </c>
    </row>
    <row r="55" spans="11:18" x14ac:dyDescent="0.25">
      <c r="K55" s="172">
        <v>47</v>
      </c>
      <c r="L55" s="173">
        <v>2.1</v>
      </c>
      <c r="Q55" s="172">
        <v>11.75</v>
      </c>
      <c r="R55" s="173">
        <v>0.11</v>
      </c>
    </row>
    <row r="56" spans="11:18" x14ac:dyDescent="0.25">
      <c r="K56" s="172">
        <v>48</v>
      </c>
      <c r="L56" s="173">
        <v>2.1</v>
      </c>
      <c r="Q56" s="172">
        <v>12</v>
      </c>
      <c r="R56" s="173">
        <v>0.106</v>
      </c>
    </row>
    <row r="57" spans="11:18" x14ac:dyDescent="0.25">
      <c r="K57" s="172">
        <v>49</v>
      </c>
      <c r="L57" s="173">
        <v>2.1</v>
      </c>
      <c r="Q57" s="172">
        <v>12.25</v>
      </c>
      <c r="R57" s="173">
        <v>0.10199999999999999</v>
      </c>
    </row>
    <row r="58" spans="11:18" x14ac:dyDescent="0.25">
      <c r="K58" s="172">
        <v>50</v>
      </c>
      <c r="L58" s="173">
        <v>2.1</v>
      </c>
      <c r="Q58" s="172">
        <v>12.5</v>
      </c>
      <c r="R58" s="173">
        <v>9.8000000000000004E-2</v>
      </c>
    </row>
    <row r="59" spans="11:18" x14ac:dyDescent="0.25">
      <c r="K59" s="172">
        <v>51</v>
      </c>
      <c r="L59" s="173">
        <v>2.1</v>
      </c>
      <c r="Q59" s="172">
        <v>12.75</v>
      </c>
      <c r="R59" s="173">
        <v>9.1999999999999998E-2</v>
      </c>
    </row>
    <row r="60" spans="11:18" x14ac:dyDescent="0.25">
      <c r="K60" s="172">
        <v>52</v>
      </c>
      <c r="L60" s="173">
        <v>2.1</v>
      </c>
      <c r="Q60" s="172">
        <v>13</v>
      </c>
      <c r="R60" s="173">
        <v>8.5999999999999993E-2</v>
      </c>
    </row>
    <row r="61" spans="11:18" x14ac:dyDescent="0.25">
      <c r="K61" s="172">
        <v>53</v>
      </c>
      <c r="L61" s="173">
        <v>2.1</v>
      </c>
      <c r="Q61" s="172">
        <v>13.25</v>
      </c>
      <c r="R61" s="173">
        <v>0.08</v>
      </c>
    </row>
    <row r="62" spans="11:18" x14ac:dyDescent="0.25">
      <c r="K62" s="172">
        <v>54</v>
      </c>
      <c r="L62" s="173">
        <v>2.1</v>
      </c>
      <c r="Q62" s="172">
        <v>13.5</v>
      </c>
      <c r="R62" s="173">
        <v>6.9000000000000006E-2</v>
      </c>
    </row>
    <row r="63" spans="11:18" x14ac:dyDescent="0.25">
      <c r="K63" s="172">
        <v>55</v>
      </c>
      <c r="L63" s="173">
        <v>2.1</v>
      </c>
      <c r="Q63" s="172">
        <v>13.75</v>
      </c>
      <c r="R63" s="173">
        <v>5.8999999999999997E-2</v>
      </c>
    </row>
    <row r="64" spans="11:18" x14ac:dyDescent="0.25">
      <c r="K64" s="172">
        <v>56</v>
      </c>
      <c r="L64" s="173">
        <v>2.1</v>
      </c>
      <c r="Q64" s="172">
        <v>14</v>
      </c>
      <c r="R64" s="173">
        <v>5.2999999999999999E-2</v>
      </c>
    </row>
    <row r="65" spans="11:18" x14ac:dyDescent="0.25">
      <c r="K65" s="172">
        <v>57</v>
      </c>
      <c r="L65" s="173">
        <v>2.1</v>
      </c>
      <c r="Q65" s="172">
        <v>14.25</v>
      </c>
      <c r="R65" s="173">
        <v>4.9000000000000002E-2</v>
      </c>
    </row>
    <row r="66" spans="11:18" x14ac:dyDescent="0.25">
      <c r="K66" s="172">
        <v>58</v>
      </c>
      <c r="L66" s="173">
        <v>2.1</v>
      </c>
      <c r="Q66" s="172">
        <v>14.5</v>
      </c>
      <c r="R66" s="173">
        <v>4.2999999999999997E-2</v>
      </c>
    </row>
    <row r="67" spans="11:18" x14ac:dyDescent="0.25">
      <c r="K67" s="172">
        <v>59</v>
      </c>
      <c r="L67" s="173">
        <v>2.1</v>
      </c>
      <c r="Q67" s="172">
        <v>14.75</v>
      </c>
      <c r="R67" s="173">
        <v>3.7999999999999999E-2</v>
      </c>
    </row>
    <row r="68" spans="11:18" x14ac:dyDescent="0.25">
      <c r="K68" s="172">
        <v>60</v>
      </c>
      <c r="L68" s="173">
        <v>2.1</v>
      </c>
      <c r="Q68" s="172">
        <v>15</v>
      </c>
      <c r="R68" s="173">
        <v>3.6999999999999998E-2</v>
      </c>
    </row>
    <row r="69" spans="11:18" x14ac:dyDescent="0.25">
      <c r="K69" s="172">
        <v>61</v>
      </c>
      <c r="L69" s="173">
        <v>2.1</v>
      </c>
      <c r="Q69" s="172">
        <v>15.25</v>
      </c>
      <c r="R69" s="173">
        <v>3.6999999999999998E-2</v>
      </c>
    </row>
    <row r="70" spans="11:18" x14ac:dyDescent="0.25">
      <c r="K70" s="172">
        <v>62</v>
      </c>
      <c r="L70" s="173">
        <v>2.1</v>
      </c>
      <c r="Q70" s="172">
        <v>15.5</v>
      </c>
      <c r="R70" s="173">
        <v>3.7999999999999999E-2</v>
      </c>
    </row>
    <row r="71" spans="11:18" x14ac:dyDescent="0.25">
      <c r="K71" s="172">
        <v>63</v>
      </c>
      <c r="L71" s="173">
        <v>2.1</v>
      </c>
      <c r="Q71" s="172">
        <v>15.75</v>
      </c>
      <c r="R71" s="173">
        <v>3.7999999999999999E-2</v>
      </c>
    </row>
    <row r="72" spans="11:18" x14ac:dyDescent="0.25">
      <c r="K72" s="172">
        <v>64</v>
      </c>
      <c r="L72" s="173">
        <v>2.1</v>
      </c>
      <c r="Q72" s="172">
        <v>16</v>
      </c>
      <c r="R72" s="173">
        <v>3.6999999999999998E-2</v>
      </c>
    </row>
    <row r="73" spans="11:18" x14ac:dyDescent="0.25">
      <c r="K73" s="172">
        <v>65</v>
      </c>
      <c r="L73" s="173">
        <v>2.1</v>
      </c>
      <c r="Q73" s="172">
        <v>16.25</v>
      </c>
      <c r="R73" s="173">
        <v>3.6999999999999998E-2</v>
      </c>
    </row>
    <row r="74" spans="11:18" x14ac:dyDescent="0.25">
      <c r="K74" s="172">
        <v>66</v>
      </c>
      <c r="L74" s="173">
        <v>2.1</v>
      </c>
      <c r="Q74" s="172">
        <v>16.5</v>
      </c>
      <c r="R74" s="173">
        <v>3.7999999999999999E-2</v>
      </c>
    </row>
    <row r="75" spans="11:18" x14ac:dyDescent="0.25">
      <c r="K75" s="172">
        <v>67</v>
      </c>
      <c r="L75" s="173">
        <v>2.1</v>
      </c>
      <c r="Q75" s="172">
        <v>16.75</v>
      </c>
      <c r="R75" s="173">
        <v>3.6999999999999998E-2</v>
      </c>
    </row>
    <row r="76" spans="11:18" x14ac:dyDescent="0.25">
      <c r="K76" s="172">
        <v>68</v>
      </c>
      <c r="L76" s="173">
        <v>2.1</v>
      </c>
      <c r="Q76" s="172">
        <v>17</v>
      </c>
      <c r="R76" s="173">
        <v>3.5999999999999997E-2</v>
      </c>
    </row>
    <row r="77" spans="11:18" x14ac:dyDescent="0.25">
      <c r="K77" s="172">
        <v>69</v>
      </c>
      <c r="L77" s="173">
        <v>2.1</v>
      </c>
      <c r="Q77" s="172">
        <v>17.25</v>
      </c>
      <c r="R77" s="173">
        <v>3.6999999999999998E-2</v>
      </c>
    </row>
    <row r="78" spans="11:18" x14ac:dyDescent="0.25">
      <c r="K78" s="172">
        <v>70</v>
      </c>
      <c r="L78" s="173">
        <v>2.1</v>
      </c>
      <c r="Q78" s="172">
        <v>17.5</v>
      </c>
      <c r="R78" s="173">
        <v>2.9000000000000001E-2</v>
      </c>
    </row>
    <row r="79" spans="11:18" x14ac:dyDescent="0.25">
      <c r="K79" s="172">
        <v>71</v>
      </c>
      <c r="L79" s="173">
        <v>2.1</v>
      </c>
      <c r="Q79" s="172">
        <v>17.75</v>
      </c>
      <c r="R79" s="173">
        <v>2.4E-2</v>
      </c>
    </row>
    <row r="80" spans="11:18" x14ac:dyDescent="0.25">
      <c r="K80" s="172">
        <v>72</v>
      </c>
      <c r="L80" s="173">
        <v>2.1</v>
      </c>
      <c r="Q80" s="172">
        <v>18</v>
      </c>
      <c r="R80" s="173">
        <v>2.5999999999999999E-2</v>
      </c>
    </row>
    <row r="81" spans="11:18" x14ac:dyDescent="0.25">
      <c r="K81" s="172">
        <v>73</v>
      </c>
      <c r="L81" s="173">
        <v>2.1</v>
      </c>
      <c r="Q81" s="172">
        <v>18.25</v>
      </c>
      <c r="R81" s="173">
        <v>2.7E-2</v>
      </c>
    </row>
    <row r="82" spans="11:18" x14ac:dyDescent="0.25">
      <c r="K82" s="172">
        <v>74</v>
      </c>
      <c r="L82" s="173">
        <v>2.1</v>
      </c>
      <c r="Q82" s="172">
        <v>18.5</v>
      </c>
      <c r="R82" s="173">
        <v>2.8000000000000001E-2</v>
      </c>
    </row>
    <row r="83" spans="11:18" x14ac:dyDescent="0.25">
      <c r="K83" s="172">
        <v>75</v>
      </c>
      <c r="L83" s="173">
        <v>2.1</v>
      </c>
      <c r="Q83" s="172">
        <v>18.75</v>
      </c>
      <c r="R83" s="173">
        <v>2.9000000000000001E-2</v>
      </c>
    </row>
    <row r="84" spans="11:18" x14ac:dyDescent="0.25">
      <c r="K84" s="172">
        <v>76</v>
      </c>
      <c r="L84" s="173">
        <v>2.1</v>
      </c>
      <c r="Q84" s="172">
        <v>19</v>
      </c>
      <c r="R84" s="173">
        <v>6.9000000000000006E-2</v>
      </c>
    </row>
    <row r="85" spans="11:18" x14ac:dyDescent="0.25">
      <c r="K85" s="172">
        <v>77</v>
      </c>
      <c r="L85" s="173">
        <v>2.1</v>
      </c>
      <c r="Q85" s="172">
        <v>19.25</v>
      </c>
      <c r="R85" s="173">
        <v>8.5000000000000006E-2</v>
      </c>
    </row>
    <row r="86" spans="11:18" x14ac:dyDescent="0.25">
      <c r="K86" s="172">
        <v>78</v>
      </c>
      <c r="L86" s="173">
        <v>2.1</v>
      </c>
      <c r="Q86" s="172">
        <v>19.5</v>
      </c>
      <c r="R86" s="173">
        <v>5.8000000000000003E-2</v>
      </c>
    </row>
    <row r="87" spans="11:18" x14ac:dyDescent="0.25">
      <c r="K87" s="172">
        <v>79</v>
      </c>
      <c r="L87" s="173">
        <v>2.1</v>
      </c>
      <c r="Q87" s="172">
        <v>19.75</v>
      </c>
      <c r="R87" s="173">
        <v>0.04</v>
      </c>
    </row>
    <row r="88" spans="11:18" x14ac:dyDescent="0.25">
      <c r="K88" s="172">
        <v>80</v>
      </c>
      <c r="L88" s="173">
        <v>2.1</v>
      </c>
      <c r="Q88" s="172">
        <v>20</v>
      </c>
      <c r="R88" s="173">
        <v>5.0999999999999997E-2</v>
      </c>
    </row>
    <row r="89" spans="11:18" x14ac:dyDescent="0.25">
      <c r="K89" s="172">
        <v>81</v>
      </c>
      <c r="L89" s="173">
        <v>2.1</v>
      </c>
      <c r="Q89" s="172">
        <v>20.25</v>
      </c>
      <c r="R89" s="173">
        <v>6.8000000000000005E-2</v>
      </c>
    </row>
    <row r="90" spans="11:18" x14ac:dyDescent="0.25">
      <c r="K90" s="172">
        <v>82</v>
      </c>
      <c r="L90" s="173">
        <v>2.1</v>
      </c>
      <c r="Q90" s="172">
        <v>20.5</v>
      </c>
      <c r="R90" s="173">
        <v>5.8000000000000003E-2</v>
      </c>
    </row>
    <row r="91" spans="11:18" x14ac:dyDescent="0.25">
      <c r="K91" s="172">
        <v>83</v>
      </c>
      <c r="L91" s="173">
        <v>2.1</v>
      </c>
      <c r="Q91" s="172">
        <v>20.75</v>
      </c>
      <c r="R91" s="173">
        <v>5.8999999999999997E-2</v>
      </c>
    </row>
    <row r="92" spans="11:18" x14ac:dyDescent="0.25">
      <c r="K92" s="172">
        <v>84</v>
      </c>
      <c r="L92" s="173">
        <v>2.1</v>
      </c>
      <c r="Q92" s="172">
        <v>21</v>
      </c>
      <c r="R92" s="173">
        <v>0.06</v>
      </c>
    </row>
    <row r="93" spans="11:18" x14ac:dyDescent="0.25">
      <c r="K93" s="172">
        <v>85</v>
      </c>
      <c r="L93" s="173">
        <v>2.1</v>
      </c>
      <c r="Q93" s="172">
        <v>21.25</v>
      </c>
      <c r="R93" s="173">
        <v>5.8000000000000003E-2</v>
      </c>
    </row>
    <row r="94" spans="11:18" x14ac:dyDescent="0.25">
      <c r="K94" s="172">
        <v>86</v>
      </c>
      <c r="L94" s="173">
        <v>2.1</v>
      </c>
      <c r="Q94" s="172">
        <v>21.5</v>
      </c>
      <c r="R94" s="173">
        <v>6.5000000000000002E-2</v>
      </c>
    </row>
    <row r="95" spans="11:18" x14ac:dyDescent="0.25">
      <c r="K95" s="172">
        <v>87</v>
      </c>
      <c r="L95" s="173">
        <v>2.1</v>
      </c>
      <c r="Q95" s="172">
        <v>21.75</v>
      </c>
      <c r="R95" s="173">
        <v>6.7000000000000004E-2</v>
      </c>
    </row>
    <row r="96" spans="11:18" x14ac:dyDescent="0.25">
      <c r="K96" s="172">
        <v>88</v>
      </c>
      <c r="L96" s="173">
        <v>2.1</v>
      </c>
      <c r="Q96" s="172">
        <v>22</v>
      </c>
      <c r="R96" s="173">
        <v>6.0999999999999999E-2</v>
      </c>
    </row>
    <row r="97" spans="11:18" x14ac:dyDescent="0.25">
      <c r="K97" s="172">
        <v>89</v>
      </c>
      <c r="L97" s="173">
        <v>2.1</v>
      </c>
      <c r="Q97" s="172">
        <v>22.25</v>
      </c>
      <c r="R97" s="173">
        <v>5.6000000000000001E-2</v>
      </c>
    </row>
    <row r="98" spans="11:18" x14ac:dyDescent="0.25">
      <c r="K98" s="172">
        <v>90</v>
      </c>
      <c r="L98" s="173">
        <v>2.1</v>
      </c>
      <c r="Q98" s="172">
        <v>22.5</v>
      </c>
      <c r="R98" s="173">
        <v>5.1999999999999998E-2</v>
      </c>
    </row>
    <row r="99" spans="11:18" x14ac:dyDescent="0.25">
      <c r="K99" s="172">
        <v>91</v>
      </c>
      <c r="L99" s="173">
        <v>2.1</v>
      </c>
      <c r="Q99" s="172">
        <v>22.75</v>
      </c>
      <c r="R99" s="173">
        <v>5.3999999999999999E-2</v>
      </c>
    </row>
    <row r="100" spans="11:18" x14ac:dyDescent="0.25">
      <c r="K100" s="172">
        <v>92</v>
      </c>
      <c r="L100" s="173">
        <v>2.1</v>
      </c>
      <c r="Q100" s="172">
        <v>23</v>
      </c>
      <c r="R100" s="173">
        <v>6.4000000000000001E-2</v>
      </c>
    </row>
    <row r="101" spans="11:18" x14ac:dyDescent="0.25">
      <c r="K101" s="172">
        <v>93</v>
      </c>
      <c r="L101" s="173">
        <v>2.1</v>
      </c>
      <c r="Q101" s="172">
        <v>23.25</v>
      </c>
      <c r="R101" s="173">
        <v>6.6000000000000003E-2</v>
      </c>
    </row>
    <row r="102" spans="11:18" x14ac:dyDescent="0.25">
      <c r="K102" s="172">
        <v>94</v>
      </c>
      <c r="L102" s="173">
        <v>2.1</v>
      </c>
      <c r="Q102" s="172">
        <v>23.5</v>
      </c>
      <c r="R102" s="173">
        <v>6.2E-2</v>
      </c>
    </row>
    <row r="103" spans="11:18" x14ac:dyDescent="0.25">
      <c r="K103" s="172">
        <v>95</v>
      </c>
      <c r="L103" s="173">
        <v>2.1</v>
      </c>
      <c r="Q103" s="172">
        <v>23.75</v>
      </c>
      <c r="R103" s="173">
        <v>0.06</v>
      </c>
    </row>
    <row r="104" spans="11:18" x14ac:dyDescent="0.25">
      <c r="K104" s="172">
        <v>96</v>
      </c>
      <c r="L104" s="173">
        <v>2.1</v>
      </c>
      <c r="Q104" s="172">
        <v>24</v>
      </c>
      <c r="R104" s="173">
        <v>5.5E-2</v>
      </c>
    </row>
    <row r="105" spans="11:18" x14ac:dyDescent="0.25">
      <c r="K105" s="172">
        <v>97</v>
      </c>
      <c r="L105" s="173">
        <v>2.1</v>
      </c>
      <c r="Q105" s="172">
        <v>24.25</v>
      </c>
      <c r="R105" s="173">
        <v>6.4000000000000001E-2</v>
      </c>
    </row>
    <row r="106" spans="11:18" x14ac:dyDescent="0.25">
      <c r="K106" s="172">
        <v>98</v>
      </c>
      <c r="L106" s="173">
        <v>2.1</v>
      </c>
      <c r="Q106" s="172">
        <v>24.5</v>
      </c>
      <c r="R106" s="173">
        <v>5.7000000000000002E-2</v>
      </c>
    </row>
    <row r="107" spans="11:18" x14ac:dyDescent="0.25">
      <c r="K107" s="172">
        <v>99</v>
      </c>
      <c r="L107" s="173">
        <v>2.1</v>
      </c>
      <c r="Q107" s="172">
        <v>24.75</v>
      </c>
      <c r="R107" s="173">
        <v>4.8000000000000001E-2</v>
      </c>
    </row>
    <row r="108" spans="11:18" x14ac:dyDescent="0.25">
      <c r="K108" s="172">
        <v>100</v>
      </c>
      <c r="L108" s="173">
        <v>2.1</v>
      </c>
      <c r="Q108" s="172">
        <v>25</v>
      </c>
      <c r="R108" s="173">
        <v>5.0999999999999997E-2</v>
      </c>
    </row>
    <row r="109" spans="11:18" x14ac:dyDescent="0.25">
      <c r="K109" s="172">
        <v>101</v>
      </c>
      <c r="L109" s="173">
        <v>2.1</v>
      </c>
      <c r="Q109" s="172">
        <v>25.25</v>
      </c>
      <c r="R109" s="173">
        <v>5.2999999999999999E-2</v>
      </c>
    </row>
    <row r="110" spans="11:18" x14ac:dyDescent="0.25">
      <c r="K110" s="172">
        <v>102</v>
      </c>
      <c r="L110" s="173">
        <v>2.1</v>
      </c>
      <c r="Q110" s="172">
        <v>25.5</v>
      </c>
      <c r="R110" s="173">
        <v>4.8000000000000001E-2</v>
      </c>
    </row>
    <row r="111" spans="11:18" x14ac:dyDescent="0.25">
      <c r="K111" s="172">
        <v>103</v>
      </c>
      <c r="L111" s="173">
        <v>2.1</v>
      </c>
      <c r="Q111" s="172">
        <v>25.75</v>
      </c>
      <c r="R111" s="173">
        <v>4.2000000000000003E-2</v>
      </c>
    </row>
    <row r="112" spans="11:18" x14ac:dyDescent="0.25">
      <c r="K112" s="172">
        <v>104</v>
      </c>
      <c r="L112" s="173">
        <v>2.1</v>
      </c>
      <c r="Q112" s="172">
        <v>26</v>
      </c>
      <c r="R112" s="173">
        <v>4.3999999999999997E-2</v>
      </c>
    </row>
    <row r="113" spans="11:18" x14ac:dyDescent="0.25">
      <c r="K113" s="172">
        <v>105</v>
      </c>
      <c r="L113" s="173">
        <v>2.1</v>
      </c>
      <c r="Q113" s="172">
        <v>26.25</v>
      </c>
      <c r="R113" s="173">
        <v>4.5999999999999999E-2</v>
      </c>
    </row>
    <row r="114" spans="11:18" x14ac:dyDescent="0.25">
      <c r="K114" s="172">
        <v>106</v>
      </c>
      <c r="L114" s="173">
        <v>2.1</v>
      </c>
      <c r="Q114" s="172">
        <v>26.5</v>
      </c>
      <c r="R114" s="173">
        <v>4.5999999999999999E-2</v>
      </c>
    </row>
    <row r="115" spans="11:18" x14ac:dyDescent="0.25">
      <c r="K115" s="172">
        <v>107</v>
      </c>
      <c r="L115" s="173">
        <v>2.1</v>
      </c>
      <c r="Q115" s="172">
        <v>26.75</v>
      </c>
      <c r="R115" s="173">
        <v>4.3999999999999997E-2</v>
      </c>
    </row>
    <row r="116" spans="11:18" x14ac:dyDescent="0.25">
      <c r="K116" s="172">
        <v>108</v>
      </c>
      <c r="L116" s="173">
        <v>2.1</v>
      </c>
      <c r="Q116" s="172">
        <v>27</v>
      </c>
      <c r="R116" s="173">
        <v>4.2999999999999997E-2</v>
      </c>
    </row>
    <row r="117" spans="11:18" x14ac:dyDescent="0.25">
      <c r="K117" s="172">
        <v>109</v>
      </c>
      <c r="L117" s="173">
        <v>2.1</v>
      </c>
      <c r="Q117" s="172">
        <v>27.25</v>
      </c>
      <c r="R117" s="173">
        <v>4.2000000000000003E-2</v>
      </c>
    </row>
    <row r="118" spans="11:18" x14ac:dyDescent="0.25">
      <c r="K118" s="172">
        <v>110</v>
      </c>
      <c r="L118" s="173">
        <v>2.1</v>
      </c>
      <c r="Q118" s="172">
        <v>27.5</v>
      </c>
      <c r="R118" s="173">
        <v>4.4999999999999998E-2</v>
      </c>
    </row>
    <row r="119" spans="11:18" x14ac:dyDescent="0.25">
      <c r="K119" s="172">
        <v>111</v>
      </c>
      <c r="L119" s="173">
        <v>2.1</v>
      </c>
      <c r="Q119" s="172">
        <v>27.75</v>
      </c>
      <c r="R119" s="173">
        <v>4.5999999999999999E-2</v>
      </c>
    </row>
    <row r="120" spans="11:18" x14ac:dyDescent="0.25">
      <c r="K120" s="172">
        <v>112</v>
      </c>
      <c r="L120" s="173">
        <v>2.1</v>
      </c>
      <c r="Q120" s="172">
        <v>28</v>
      </c>
      <c r="R120" s="173">
        <v>4.5999999999999999E-2</v>
      </c>
    </row>
    <row r="121" spans="11:18" x14ac:dyDescent="0.25">
      <c r="K121" s="172">
        <v>113</v>
      </c>
      <c r="L121" s="173">
        <v>2.1</v>
      </c>
      <c r="Q121" s="172">
        <v>28.25</v>
      </c>
      <c r="R121" s="173">
        <v>4.3999999999999997E-2</v>
      </c>
    </row>
    <row r="122" spans="11:18" x14ac:dyDescent="0.25">
      <c r="K122" s="172">
        <v>114</v>
      </c>
      <c r="L122" s="173">
        <v>2.1</v>
      </c>
      <c r="Q122" s="172">
        <v>28.5</v>
      </c>
      <c r="R122" s="173">
        <v>4.2000000000000003E-2</v>
      </c>
    </row>
    <row r="123" spans="11:18" x14ac:dyDescent="0.25">
      <c r="K123" s="172">
        <v>115</v>
      </c>
      <c r="L123" s="173">
        <v>2.1</v>
      </c>
      <c r="Q123" s="172">
        <v>28.75</v>
      </c>
      <c r="R123" s="173">
        <v>4.2999999999999997E-2</v>
      </c>
    </row>
    <row r="124" spans="11:18" x14ac:dyDescent="0.25">
      <c r="K124" s="172">
        <v>116</v>
      </c>
      <c r="L124" s="173">
        <v>2.1</v>
      </c>
      <c r="Q124" s="172">
        <v>29</v>
      </c>
      <c r="R124" s="173">
        <v>4.2000000000000003E-2</v>
      </c>
    </row>
    <row r="125" spans="11:18" x14ac:dyDescent="0.25">
      <c r="K125" s="172">
        <v>117</v>
      </c>
      <c r="L125" s="173">
        <v>2.1</v>
      </c>
      <c r="Q125" s="172">
        <v>29.25</v>
      </c>
      <c r="R125" s="173">
        <v>0.04</v>
      </c>
    </row>
    <row r="126" spans="11:18" x14ac:dyDescent="0.25">
      <c r="K126" s="172">
        <v>118</v>
      </c>
      <c r="L126" s="173">
        <v>2.1</v>
      </c>
      <c r="Q126" s="172">
        <v>29.5</v>
      </c>
      <c r="R126" s="173">
        <v>4.1000000000000002E-2</v>
      </c>
    </row>
    <row r="127" spans="11:18" x14ac:dyDescent="0.25">
      <c r="K127" s="172">
        <v>119</v>
      </c>
      <c r="L127" s="173">
        <v>2.1</v>
      </c>
      <c r="Q127" s="172">
        <v>29.75</v>
      </c>
      <c r="R127" s="173">
        <v>0.04</v>
      </c>
    </row>
    <row r="128" spans="11:18" x14ac:dyDescent="0.25">
      <c r="K128" s="172">
        <v>120</v>
      </c>
      <c r="L128" s="173">
        <v>2.1</v>
      </c>
      <c r="Q128" s="172">
        <v>30</v>
      </c>
      <c r="R128" s="173">
        <v>3.6999999999999998E-2</v>
      </c>
    </row>
    <row r="129" spans="11:18" x14ac:dyDescent="0.25">
      <c r="K129" s="172">
        <v>121</v>
      </c>
      <c r="L129" s="173">
        <v>2.1</v>
      </c>
      <c r="Q129" s="172">
        <v>30.25</v>
      </c>
      <c r="R129" s="173">
        <v>3.7999999999999999E-2</v>
      </c>
    </row>
    <row r="130" spans="11:18" x14ac:dyDescent="0.25">
      <c r="K130" s="172">
        <v>122</v>
      </c>
      <c r="L130" s="173">
        <v>2.1</v>
      </c>
      <c r="Q130" s="172">
        <v>30.5</v>
      </c>
      <c r="R130" s="173">
        <v>3.6999999999999998E-2</v>
      </c>
    </row>
    <row r="131" spans="11:18" x14ac:dyDescent="0.25">
      <c r="K131" s="172">
        <v>123</v>
      </c>
      <c r="L131" s="173">
        <v>2.1</v>
      </c>
      <c r="Q131" s="172">
        <v>30.75</v>
      </c>
      <c r="R131" s="173">
        <v>3.5999999999999997E-2</v>
      </c>
    </row>
    <row r="132" spans="11:18" x14ac:dyDescent="0.25">
      <c r="K132" s="172">
        <v>124</v>
      </c>
      <c r="L132" s="173">
        <v>2.1</v>
      </c>
      <c r="Q132" s="172">
        <v>31</v>
      </c>
      <c r="R132" s="173">
        <v>0.04</v>
      </c>
    </row>
    <row r="133" spans="11:18" x14ac:dyDescent="0.25">
      <c r="K133" s="172">
        <v>125</v>
      </c>
      <c r="L133" s="173">
        <v>2.1</v>
      </c>
      <c r="Q133" s="172">
        <v>31.25</v>
      </c>
      <c r="R133" s="173">
        <v>3.9E-2</v>
      </c>
    </row>
    <row r="134" spans="11:18" x14ac:dyDescent="0.25">
      <c r="K134" s="172">
        <v>126</v>
      </c>
      <c r="L134" s="173">
        <v>2.1</v>
      </c>
      <c r="Q134" s="172">
        <v>31.5</v>
      </c>
      <c r="R134" s="173">
        <v>3.5999999999999997E-2</v>
      </c>
    </row>
    <row r="135" spans="11:18" x14ac:dyDescent="0.25">
      <c r="K135" s="172">
        <v>127</v>
      </c>
      <c r="L135" s="173">
        <v>2.1</v>
      </c>
      <c r="Q135" s="172">
        <v>31.75</v>
      </c>
      <c r="R135" s="173">
        <v>3.5000000000000003E-2</v>
      </c>
    </row>
    <row r="136" spans="11:18" x14ac:dyDescent="0.25">
      <c r="K136" s="172">
        <v>128</v>
      </c>
      <c r="L136" s="173">
        <v>2.1</v>
      </c>
      <c r="Q136" s="172">
        <v>32</v>
      </c>
      <c r="R136" s="173">
        <v>3.4000000000000002E-2</v>
      </c>
    </row>
    <row r="137" spans="11:18" x14ac:dyDescent="0.25">
      <c r="K137" s="172">
        <v>129</v>
      </c>
      <c r="L137" s="173">
        <v>2.1</v>
      </c>
      <c r="Q137" s="172">
        <v>32.25</v>
      </c>
      <c r="R137" s="173">
        <v>3.5000000000000003E-2</v>
      </c>
    </row>
    <row r="138" spans="11:18" x14ac:dyDescent="0.25">
      <c r="K138" s="172">
        <v>130</v>
      </c>
      <c r="L138" s="173">
        <v>2.1</v>
      </c>
      <c r="Q138" s="172">
        <v>32.5</v>
      </c>
      <c r="R138" s="173">
        <v>3.5999999999999997E-2</v>
      </c>
    </row>
    <row r="139" spans="11:18" x14ac:dyDescent="0.25">
      <c r="K139" s="172">
        <v>131</v>
      </c>
      <c r="L139" s="173">
        <v>2.1</v>
      </c>
      <c r="Q139" s="172">
        <v>32.75</v>
      </c>
      <c r="R139" s="173">
        <v>3.6999999999999998E-2</v>
      </c>
    </row>
    <row r="140" spans="11:18" x14ac:dyDescent="0.25">
      <c r="K140" s="172">
        <v>132</v>
      </c>
      <c r="L140" s="173">
        <v>2.1</v>
      </c>
      <c r="Q140" s="172">
        <v>33</v>
      </c>
      <c r="R140" s="173">
        <v>3.5999999999999997E-2</v>
      </c>
    </row>
    <row r="141" spans="11:18" x14ac:dyDescent="0.25">
      <c r="K141" s="172">
        <v>133</v>
      </c>
      <c r="L141" s="173">
        <v>2.1</v>
      </c>
      <c r="Q141" s="172">
        <v>33.25</v>
      </c>
      <c r="R141" s="173">
        <v>3.5999999999999997E-2</v>
      </c>
    </row>
    <row r="142" spans="11:18" x14ac:dyDescent="0.25">
      <c r="K142" s="172">
        <v>134</v>
      </c>
      <c r="L142" s="173">
        <v>2.1</v>
      </c>
      <c r="Q142" s="172">
        <v>33.5</v>
      </c>
      <c r="R142" s="173">
        <v>3.6999999999999998E-2</v>
      </c>
    </row>
    <row r="143" spans="11:18" x14ac:dyDescent="0.25">
      <c r="K143" s="172">
        <v>135</v>
      </c>
      <c r="L143" s="173">
        <v>2.1</v>
      </c>
      <c r="Q143" s="172">
        <v>33.75</v>
      </c>
      <c r="R143" s="173">
        <v>3.7999999999999999E-2</v>
      </c>
    </row>
    <row r="144" spans="11:18" x14ac:dyDescent="0.25">
      <c r="K144" s="172">
        <v>136</v>
      </c>
      <c r="L144" s="173">
        <v>2.1</v>
      </c>
      <c r="Q144" s="172">
        <v>34</v>
      </c>
      <c r="R144" s="173">
        <v>3.9E-2</v>
      </c>
    </row>
    <row r="145" spans="11:18" x14ac:dyDescent="0.25">
      <c r="K145" s="172">
        <v>137</v>
      </c>
      <c r="L145" s="173">
        <v>2.1</v>
      </c>
      <c r="Q145" s="172">
        <v>34.25</v>
      </c>
      <c r="R145" s="173">
        <v>3.9E-2</v>
      </c>
    </row>
    <row r="146" spans="11:18" x14ac:dyDescent="0.25">
      <c r="K146" s="172">
        <v>138</v>
      </c>
      <c r="L146" s="173">
        <v>2.1</v>
      </c>
      <c r="Q146" s="172">
        <v>34.5</v>
      </c>
      <c r="R146" s="173">
        <v>0.04</v>
      </c>
    </row>
    <row r="147" spans="11:18" x14ac:dyDescent="0.25">
      <c r="K147" s="172">
        <v>139</v>
      </c>
      <c r="L147" s="173">
        <v>2.1</v>
      </c>
      <c r="Q147" s="172">
        <v>34.75</v>
      </c>
      <c r="R147" s="173">
        <v>3.9E-2</v>
      </c>
    </row>
    <row r="148" spans="11:18" x14ac:dyDescent="0.25">
      <c r="K148" s="172">
        <v>140</v>
      </c>
      <c r="L148" s="173">
        <v>2.1</v>
      </c>
      <c r="Q148" s="172">
        <v>35</v>
      </c>
      <c r="R148" s="173">
        <v>3.6999999999999998E-2</v>
      </c>
    </row>
    <row r="149" spans="11:18" x14ac:dyDescent="0.25">
      <c r="K149" s="172">
        <v>141</v>
      </c>
      <c r="L149" s="173">
        <v>2.1</v>
      </c>
      <c r="Q149" s="172">
        <v>35.25</v>
      </c>
      <c r="R149" s="173">
        <v>3.7999999999999999E-2</v>
      </c>
    </row>
    <row r="150" spans="11:18" x14ac:dyDescent="0.25">
      <c r="K150" s="172">
        <v>142</v>
      </c>
      <c r="L150" s="173">
        <v>2.1</v>
      </c>
      <c r="Q150" s="172">
        <v>35.5</v>
      </c>
      <c r="R150" s="173">
        <v>0.04</v>
      </c>
    </row>
    <row r="151" spans="11:18" x14ac:dyDescent="0.25">
      <c r="K151" s="172">
        <v>143</v>
      </c>
      <c r="L151" s="173">
        <v>2.1</v>
      </c>
      <c r="Q151" s="172">
        <v>35.75</v>
      </c>
      <c r="R151" s="173">
        <v>0.04</v>
      </c>
    </row>
    <row r="152" spans="11:18" x14ac:dyDescent="0.25">
      <c r="K152" s="172">
        <v>144</v>
      </c>
      <c r="L152" s="173">
        <v>2.1</v>
      </c>
      <c r="Q152" s="172">
        <v>36</v>
      </c>
      <c r="R152" s="173">
        <v>4.1000000000000002E-2</v>
      </c>
    </row>
    <row r="153" spans="11:18" x14ac:dyDescent="0.25">
      <c r="K153" s="172">
        <v>145</v>
      </c>
      <c r="L153" s="173">
        <v>2.1</v>
      </c>
      <c r="Q153" s="172">
        <v>36.25</v>
      </c>
      <c r="R153" s="173">
        <v>3.7999999999999999E-2</v>
      </c>
    </row>
    <row r="154" spans="11:18" x14ac:dyDescent="0.25">
      <c r="K154" s="172">
        <v>146</v>
      </c>
      <c r="L154" s="173">
        <v>2.1</v>
      </c>
      <c r="Q154" s="172">
        <v>36.5</v>
      </c>
      <c r="R154" s="173">
        <v>3.6999999999999998E-2</v>
      </c>
    </row>
    <row r="155" spans="11:18" x14ac:dyDescent="0.25">
      <c r="K155" s="172">
        <v>147</v>
      </c>
      <c r="L155" s="173">
        <v>2.1</v>
      </c>
      <c r="Q155" s="172">
        <v>36.75</v>
      </c>
      <c r="R155" s="173">
        <v>3.6999999999999998E-2</v>
      </c>
    </row>
    <row r="156" spans="11:18" x14ac:dyDescent="0.25">
      <c r="K156" s="172">
        <v>148</v>
      </c>
      <c r="L156" s="173">
        <v>2.1</v>
      </c>
      <c r="Q156" s="172">
        <v>37</v>
      </c>
      <c r="R156" s="173">
        <v>3.5999999999999997E-2</v>
      </c>
    </row>
    <row r="157" spans="11:18" x14ac:dyDescent="0.25">
      <c r="K157" s="172">
        <v>149</v>
      </c>
      <c r="L157" s="173">
        <v>2.1</v>
      </c>
      <c r="Q157" s="172">
        <v>37.25</v>
      </c>
      <c r="R157" s="173">
        <v>3.5999999999999997E-2</v>
      </c>
    </row>
    <row r="158" spans="11:18" x14ac:dyDescent="0.25">
      <c r="K158" s="172">
        <v>150</v>
      </c>
      <c r="L158" s="173">
        <v>2.1</v>
      </c>
      <c r="Q158" s="172">
        <v>37.5</v>
      </c>
      <c r="R158" s="173">
        <v>3.5000000000000003E-2</v>
      </c>
    </row>
    <row r="159" spans="11:18" x14ac:dyDescent="0.25">
      <c r="K159" s="172">
        <v>151</v>
      </c>
      <c r="L159" s="173">
        <v>2.1</v>
      </c>
      <c r="Q159" s="172">
        <v>37.75</v>
      </c>
      <c r="R159" s="173">
        <v>3.5000000000000003E-2</v>
      </c>
    </row>
    <row r="160" spans="11:18" x14ac:dyDescent="0.25">
      <c r="K160" s="172">
        <v>152</v>
      </c>
      <c r="L160" s="173">
        <v>2.1</v>
      </c>
      <c r="Q160" s="172">
        <v>38</v>
      </c>
      <c r="R160" s="173">
        <v>3.5000000000000003E-2</v>
      </c>
    </row>
    <row r="161" spans="11:18" x14ac:dyDescent="0.25">
      <c r="K161" s="172">
        <v>153</v>
      </c>
      <c r="L161" s="173">
        <v>2.1</v>
      </c>
      <c r="Q161" s="172">
        <v>38.25</v>
      </c>
      <c r="R161" s="173">
        <v>3.4000000000000002E-2</v>
      </c>
    </row>
    <row r="162" spans="11:18" x14ac:dyDescent="0.25">
      <c r="K162" s="172">
        <v>154</v>
      </c>
      <c r="L162" s="173">
        <v>2.1</v>
      </c>
      <c r="Q162" s="172">
        <v>38.5</v>
      </c>
      <c r="R162" s="173">
        <v>3.5999999999999997E-2</v>
      </c>
    </row>
    <row r="163" spans="11:18" x14ac:dyDescent="0.25">
      <c r="K163" s="172">
        <v>155</v>
      </c>
      <c r="L163" s="173">
        <v>2.1</v>
      </c>
      <c r="Q163" s="172">
        <v>38.75</v>
      </c>
      <c r="R163" s="173">
        <v>3.5999999999999997E-2</v>
      </c>
    </row>
    <row r="164" spans="11:18" x14ac:dyDescent="0.25">
      <c r="K164" s="172">
        <v>156</v>
      </c>
      <c r="L164" s="173">
        <v>2.1</v>
      </c>
      <c r="Q164" s="172">
        <v>39</v>
      </c>
      <c r="R164" s="173">
        <v>3.6999999999999998E-2</v>
      </c>
    </row>
    <row r="165" spans="11:18" x14ac:dyDescent="0.25">
      <c r="K165" s="172">
        <v>157</v>
      </c>
      <c r="L165" s="173">
        <v>2.1</v>
      </c>
      <c r="Q165" s="172">
        <v>39.25</v>
      </c>
      <c r="R165" s="173">
        <v>3.6999999999999998E-2</v>
      </c>
    </row>
    <row r="166" spans="11:18" x14ac:dyDescent="0.25">
      <c r="K166" s="172">
        <v>158</v>
      </c>
      <c r="L166" s="173">
        <v>2.1</v>
      </c>
      <c r="Q166" s="172">
        <v>39.5</v>
      </c>
      <c r="R166" s="173">
        <v>3.7999999999999999E-2</v>
      </c>
    </row>
    <row r="167" spans="11:18" x14ac:dyDescent="0.25">
      <c r="K167" s="172">
        <v>159</v>
      </c>
      <c r="L167" s="173">
        <v>2.1</v>
      </c>
      <c r="Q167" s="172">
        <v>39.75</v>
      </c>
      <c r="R167" s="173">
        <v>3.6999999999999998E-2</v>
      </c>
    </row>
    <row r="168" spans="11:18" x14ac:dyDescent="0.25">
      <c r="K168" s="172">
        <v>160</v>
      </c>
      <c r="L168" s="173">
        <v>2.1</v>
      </c>
      <c r="Q168" s="172">
        <v>40</v>
      </c>
      <c r="R168" s="173">
        <v>3.9E-2</v>
      </c>
    </row>
    <row r="169" spans="11:18" x14ac:dyDescent="0.25">
      <c r="K169" s="172">
        <v>161</v>
      </c>
      <c r="L169" s="173">
        <v>2.1</v>
      </c>
      <c r="Q169" s="172">
        <v>40.25</v>
      </c>
      <c r="R169" s="173">
        <v>4.4999999999999998E-2</v>
      </c>
    </row>
    <row r="170" spans="11:18" x14ac:dyDescent="0.25">
      <c r="K170" s="172">
        <v>162</v>
      </c>
      <c r="L170" s="173">
        <v>2.1</v>
      </c>
      <c r="Q170" s="172">
        <v>40.5</v>
      </c>
      <c r="R170" s="173">
        <v>4.7E-2</v>
      </c>
    </row>
    <row r="171" spans="11:18" x14ac:dyDescent="0.25">
      <c r="K171" s="172">
        <v>163</v>
      </c>
      <c r="L171" s="173">
        <v>2.1</v>
      </c>
      <c r="Q171" s="172">
        <v>40.75</v>
      </c>
      <c r="R171" s="173">
        <v>4.5999999999999999E-2</v>
      </c>
    </row>
    <row r="172" spans="11:18" x14ac:dyDescent="0.25">
      <c r="K172" s="172">
        <v>164</v>
      </c>
      <c r="L172" s="173">
        <v>2.1</v>
      </c>
      <c r="Q172" s="172">
        <v>41</v>
      </c>
      <c r="R172" s="173">
        <v>4.9000000000000002E-2</v>
      </c>
    </row>
    <row r="173" spans="11:18" x14ac:dyDescent="0.25">
      <c r="K173" s="172">
        <v>165</v>
      </c>
      <c r="L173" s="173">
        <v>2.1</v>
      </c>
      <c r="Q173" s="172">
        <v>41.25</v>
      </c>
      <c r="R173" s="173">
        <v>4.7E-2</v>
      </c>
    </row>
    <row r="174" spans="11:18" x14ac:dyDescent="0.25">
      <c r="K174" s="172">
        <v>166</v>
      </c>
      <c r="L174" s="173">
        <v>2.1</v>
      </c>
      <c r="Q174" s="172">
        <v>41.5</v>
      </c>
      <c r="R174" s="173">
        <v>4.5999999999999999E-2</v>
      </c>
    </row>
    <row r="175" spans="11:18" x14ac:dyDescent="0.25">
      <c r="K175" s="172">
        <v>167</v>
      </c>
      <c r="L175" s="173">
        <v>2.1</v>
      </c>
      <c r="Q175" s="172">
        <v>41.75</v>
      </c>
      <c r="R175" s="173">
        <v>4.2000000000000003E-2</v>
      </c>
    </row>
    <row r="176" spans="11:18" x14ac:dyDescent="0.25">
      <c r="K176" s="172">
        <v>168</v>
      </c>
      <c r="L176" s="173">
        <v>2.1</v>
      </c>
      <c r="Q176" s="172">
        <v>42</v>
      </c>
      <c r="R176" s="173">
        <v>4.1000000000000002E-2</v>
      </c>
    </row>
    <row r="177" spans="11:18" x14ac:dyDescent="0.25">
      <c r="K177" s="172">
        <v>169</v>
      </c>
      <c r="L177" s="173">
        <v>2.1</v>
      </c>
      <c r="Q177" s="172">
        <v>42.25</v>
      </c>
      <c r="R177" s="173">
        <v>4.2999999999999997E-2</v>
      </c>
    </row>
    <row r="178" spans="11:18" x14ac:dyDescent="0.25">
      <c r="K178" s="172">
        <v>170</v>
      </c>
      <c r="L178" s="173">
        <v>2.1</v>
      </c>
      <c r="Q178" s="172">
        <v>42.5</v>
      </c>
      <c r="R178" s="173">
        <v>4.2000000000000003E-2</v>
      </c>
    </row>
    <row r="179" spans="11:18" x14ac:dyDescent="0.25">
      <c r="K179" s="172">
        <v>171</v>
      </c>
      <c r="L179" s="173">
        <v>2.1</v>
      </c>
      <c r="Q179" s="172">
        <v>42.75</v>
      </c>
      <c r="R179" s="173">
        <v>4.3999999999999997E-2</v>
      </c>
    </row>
    <row r="180" spans="11:18" x14ac:dyDescent="0.25">
      <c r="K180" s="172">
        <v>172</v>
      </c>
      <c r="L180" s="173">
        <v>2.1</v>
      </c>
      <c r="Q180" s="172">
        <v>43</v>
      </c>
      <c r="R180" s="173">
        <v>4.3999999999999997E-2</v>
      </c>
    </row>
    <row r="181" spans="11:18" x14ac:dyDescent="0.25">
      <c r="K181" s="172">
        <v>173</v>
      </c>
      <c r="L181" s="173">
        <v>2.1</v>
      </c>
      <c r="Q181" s="172">
        <v>43.25</v>
      </c>
      <c r="R181" s="173">
        <v>4.3999999999999997E-2</v>
      </c>
    </row>
    <row r="182" spans="11:18" x14ac:dyDescent="0.25">
      <c r="K182" s="172">
        <v>174</v>
      </c>
      <c r="L182" s="173">
        <v>2.1</v>
      </c>
      <c r="Q182" s="172">
        <v>43.5</v>
      </c>
      <c r="R182" s="173">
        <v>4.3999999999999997E-2</v>
      </c>
    </row>
    <row r="183" spans="11:18" x14ac:dyDescent="0.25">
      <c r="K183" s="172">
        <v>175</v>
      </c>
      <c r="L183" s="173">
        <v>2.1</v>
      </c>
      <c r="Q183" s="172">
        <v>43.75</v>
      </c>
      <c r="R183" s="173">
        <v>4.2999999999999997E-2</v>
      </c>
    </row>
    <row r="184" spans="11:18" x14ac:dyDescent="0.25">
      <c r="K184" s="172">
        <v>176</v>
      </c>
      <c r="L184" s="173">
        <v>2.1</v>
      </c>
      <c r="Q184" s="172">
        <v>44</v>
      </c>
      <c r="R184" s="173">
        <v>4.5999999999999999E-2</v>
      </c>
    </row>
    <row r="185" spans="11:18" x14ac:dyDescent="0.25">
      <c r="K185" s="172">
        <v>177</v>
      </c>
      <c r="L185" s="173">
        <v>2.1</v>
      </c>
      <c r="Q185" s="172">
        <v>44.25</v>
      </c>
      <c r="R185" s="173">
        <v>4.9000000000000002E-2</v>
      </c>
    </row>
    <row r="186" spans="11:18" x14ac:dyDescent="0.25">
      <c r="K186" s="172">
        <v>178</v>
      </c>
      <c r="L186" s="173">
        <v>2.1</v>
      </c>
      <c r="Q186" s="172">
        <v>44.5</v>
      </c>
      <c r="R186" s="173">
        <v>5.0999999999999997E-2</v>
      </c>
    </row>
    <row r="187" spans="11:18" x14ac:dyDescent="0.25">
      <c r="K187" s="172">
        <v>179</v>
      </c>
      <c r="L187" s="173">
        <v>2.1</v>
      </c>
      <c r="Q187" s="172">
        <v>44.75</v>
      </c>
      <c r="R187" s="173">
        <v>4.8000000000000001E-2</v>
      </c>
    </row>
    <row r="188" spans="11:18" x14ac:dyDescent="0.25">
      <c r="K188" s="172">
        <v>180</v>
      </c>
      <c r="L188" s="173">
        <v>2.1</v>
      </c>
      <c r="Q188" s="172">
        <v>45</v>
      </c>
      <c r="R188" s="173">
        <v>4.5999999999999999E-2</v>
      </c>
    </row>
    <row r="189" spans="11:18" x14ac:dyDescent="0.25">
      <c r="K189" s="172">
        <v>181</v>
      </c>
      <c r="L189" s="173">
        <v>2.1</v>
      </c>
      <c r="Q189" s="172">
        <v>45.25</v>
      </c>
      <c r="R189" s="173">
        <v>4.7E-2</v>
      </c>
    </row>
    <row r="190" spans="11:18" x14ac:dyDescent="0.25">
      <c r="K190" s="172">
        <v>182</v>
      </c>
      <c r="L190" s="173">
        <v>2.1</v>
      </c>
      <c r="Q190" s="172">
        <v>45.5</v>
      </c>
      <c r="R190" s="173">
        <v>4.5999999999999999E-2</v>
      </c>
    </row>
    <row r="191" spans="11:18" x14ac:dyDescent="0.25">
      <c r="K191" s="172">
        <v>183</v>
      </c>
      <c r="L191" s="173">
        <v>2.1</v>
      </c>
      <c r="Q191" s="172">
        <v>45.75</v>
      </c>
      <c r="R191" s="173">
        <v>4.4999999999999998E-2</v>
      </c>
    </row>
    <row r="192" spans="11:18" x14ac:dyDescent="0.25">
      <c r="K192" s="172">
        <v>184</v>
      </c>
      <c r="L192" s="173">
        <v>2.1</v>
      </c>
      <c r="Q192" s="172">
        <v>46</v>
      </c>
      <c r="R192" s="173">
        <v>4.4999999999999998E-2</v>
      </c>
    </row>
    <row r="193" spans="11:18" x14ac:dyDescent="0.25">
      <c r="K193" s="172">
        <v>185</v>
      </c>
      <c r="L193" s="173">
        <v>2.1</v>
      </c>
      <c r="Q193" s="172">
        <v>46.25</v>
      </c>
      <c r="R193" s="173">
        <v>4.7E-2</v>
      </c>
    </row>
    <row r="194" spans="11:18" x14ac:dyDescent="0.25">
      <c r="K194" s="172">
        <v>186</v>
      </c>
      <c r="L194" s="173">
        <v>2.1</v>
      </c>
      <c r="Q194" s="172">
        <v>46.5</v>
      </c>
      <c r="R194" s="173">
        <v>4.7E-2</v>
      </c>
    </row>
    <row r="195" spans="11:18" x14ac:dyDescent="0.25">
      <c r="K195" s="172">
        <v>187</v>
      </c>
      <c r="L195" s="173">
        <v>2.1</v>
      </c>
      <c r="Q195" s="172">
        <v>46.75</v>
      </c>
      <c r="R195" s="173">
        <v>4.7E-2</v>
      </c>
    </row>
    <row r="196" spans="11:18" x14ac:dyDescent="0.25">
      <c r="K196" s="172">
        <v>188</v>
      </c>
      <c r="L196" s="173">
        <v>2.1</v>
      </c>
      <c r="Q196" s="172">
        <v>47</v>
      </c>
      <c r="R196" s="173">
        <v>4.7E-2</v>
      </c>
    </row>
    <row r="197" spans="11:18" x14ac:dyDescent="0.25">
      <c r="K197" s="172">
        <v>189</v>
      </c>
      <c r="L197" s="173">
        <v>2.1</v>
      </c>
      <c r="Q197" s="172">
        <v>47.25</v>
      </c>
      <c r="R197" s="173">
        <v>4.7E-2</v>
      </c>
    </row>
    <row r="198" spans="11:18" x14ac:dyDescent="0.25">
      <c r="K198" s="172">
        <v>190</v>
      </c>
      <c r="L198" s="173">
        <v>2.1</v>
      </c>
      <c r="Q198" s="172">
        <v>47.5</v>
      </c>
      <c r="R198" s="173">
        <v>4.4999999999999998E-2</v>
      </c>
    </row>
    <row r="199" spans="11:18" x14ac:dyDescent="0.25">
      <c r="K199" s="172">
        <v>191</v>
      </c>
      <c r="L199" s="173">
        <v>2.1</v>
      </c>
      <c r="Q199" s="172">
        <v>47.75</v>
      </c>
      <c r="R199" s="173">
        <v>4.4999999999999998E-2</v>
      </c>
    </row>
    <row r="200" spans="11:18" x14ac:dyDescent="0.25">
      <c r="K200" s="172">
        <v>192</v>
      </c>
      <c r="L200" s="173">
        <v>2.1</v>
      </c>
      <c r="Q200" s="172">
        <v>48</v>
      </c>
      <c r="R200" s="173">
        <v>4.5999999999999999E-2</v>
      </c>
    </row>
    <row r="201" spans="11:18" x14ac:dyDescent="0.25">
      <c r="K201" s="172">
        <v>193</v>
      </c>
      <c r="L201" s="173">
        <v>2.1</v>
      </c>
      <c r="Q201" s="172">
        <v>48.25</v>
      </c>
      <c r="R201" s="173">
        <v>4.4999999999999998E-2</v>
      </c>
    </row>
    <row r="202" spans="11:18" x14ac:dyDescent="0.25">
      <c r="K202" s="172">
        <v>194</v>
      </c>
      <c r="L202" s="173">
        <v>2.1</v>
      </c>
      <c r="Q202" s="172">
        <v>48.5</v>
      </c>
      <c r="R202" s="173">
        <v>4.4999999999999998E-2</v>
      </c>
    </row>
    <row r="203" spans="11:18" x14ac:dyDescent="0.25">
      <c r="K203" s="172">
        <v>195</v>
      </c>
      <c r="L203" s="173">
        <v>2.1</v>
      </c>
      <c r="Q203" s="172">
        <v>48.75</v>
      </c>
      <c r="R203" s="173">
        <v>4.4999999999999998E-2</v>
      </c>
    </row>
    <row r="204" spans="11:18" x14ac:dyDescent="0.25">
      <c r="K204" s="172">
        <v>196</v>
      </c>
      <c r="L204" s="173">
        <v>2.1</v>
      </c>
      <c r="Q204" s="172">
        <v>49</v>
      </c>
      <c r="R204" s="173">
        <v>4.3999999999999997E-2</v>
      </c>
    </row>
    <row r="205" spans="11:18" x14ac:dyDescent="0.25">
      <c r="K205" s="172">
        <v>197</v>
      </c>
      <c r="L205" s="173">
        <v>2.1</v>
      </c>
      <c r="Q205" s="172">
        <v>49.25</v>
      </c>
      <c r="R205" s="173">
        <v>4.3999999999999997E-2</v>
      </c>
    </row>
    <row r="206" spans="11:18" x14ac:dyDescent="0.25">
      <c r="K206" s="172">
        <v>198</v>
      </c>
      <c r="L206" s="173">
        <v>2.1</v>
      </c>
      <c r="Q206" s="172">
        <v>49.5</v>
      </c>
      <c r="R206" s="173">
        <v>4.3999999999999997E-2</v>
      </c>
    </row>
    <row r="207" spans="11:18" x14ac:dyDescent="0.25">
      <c r="K207" s="172">
        <v>199</v>
      </c>
      <c r="L207" s="173">
        <v>2.1</v>
      </c>
      <c r="Q207" s="172">
        <v>49.75</v>
      </c>
      <c r="R207" s="173">
        <v>4.4999999999999998E-2</v>
      </c>
    </row>
    <row r="208" spans="11:18" x14ac:dyDescent="0.25">
      <c r="K208" s="172">
        <v>200</v>
      </c>
      <c r="L208" s="173">
        <v>2.1</v>
      </c>
      <c r="Q208" s="172">
        <v>50</v>
      </c>
      <c r="R208" s="173">
        <v>4.4999999999999998E-2</v>
      </c>
    </row>
    <row r="209" spans="11:18" x14ac:dyDescent="0.25">
      <c r="K209" s="172">
        <v>201</v>
      </c>
      <c r="L209" s="173">
        <v>2.1</v>
      </c>
      <c r="Q209" s="172">
        <v>50.25</v>
      </c>
      <c r="R209" s="173">
        <v>4.5999999999999999E-2</v>
      </c>
    </row>
    <row r="210" spans="11:18" x14ac:dyDescent="0.25">
      <c r="K210" s="172">
        <v>202</v>
      </c>
      <c r="L210" s="173">
        <v>2.1</v>
      </c>
      <c r="Q210" s="172">
        <v>50.5</v>
      </c>
      <c r="R210" s="173">
        <v>4.5999999999999999E-2</v>
      </c>
    </row>
    <row r="211" spans="11:18" x14ac:dyDescent="0.25">
      <c r="K211" s="172">
        <v>203</v>
      </c>
      <c r="L211" s="173">
        <v>2.1</v>
      </c>
      <c r="Q211" s="172">
        <v>50.75</v>
      </c>
      <c r="R211" s="173">
        <v>4.5999999999999999E-2</v>
      </c>
    </row>
    <row r="212" spans="11:18" x14ac:dyDescent="0.25">
      <c r="K212" s="172">
        <v>204</v>
      </c>
      <c r="L212" s="173">
        <v>2.1</v>
      </c>
      <c r="Q212" s="172">
        <v>51</v>
      </c>
      <c r="R212" s="173">
        <v>4.5999999999999999E-2</v>
      </c>
    </row>
    <row r="213" spans="11:18" x14ac:dyDescent="0.25">
      <c r="K213" s="172">
        <v>205</v>
      </c>
      <c r="L213" s="173">
        <v>2.1</v>
      </c>
      <c r="Q213" s="172">
        <v>51.25</v>
      </c>
      <c r="R213" s="173">
        <v>4.7E-2</v>
      </c>
    </row>
    <row r="214" spans="11:18" x14ac:dyDescent="0.25">
      <c r="K214" s="172">
        <v>206</v>
      </c>
      <c r="L214" s="173">
        <v>2.1</v>
      </c>
      <c r="Q214" s="172">
        <v>51.5</v>
      </c>
      <c r="R214" s="173">
        <v>0.05</v>
      </c>
    </row>
    <row r="215" spans="11:18" x14ac:dyDescent="0.25">
      <c r="K215" s="172">
        <v>207</v>
      </c>
      <c r="L215" s="173">
        <v>2.1</v>
      </c>
      <c r="Q215" s="172">
        <v>51.75</v>
      </c>
      <c r="R215" s="173">
        <v>4.7E-2</v>
      </c>
    </row>
    <row r="216" spans="11:18" x14ac:dyDescent="0.25">
      <c r="K216" s="172">
        <v>208</v>
      </c>
      <c r="L216" s="173">
        <v>2.1</v>
      </c>
      <c r="Q216" s="172">
        <v>52</v>
      </c>
      <c r="R216" s="173">
        <v>4.5999999999999999E-2</v>
      </c>
    </row>
    <row r="217" spans="11:18" x14ac:dyDescent="0.25">
      <c r="K217" s="172">
        <v>209</v>
      </c>
      <c r="L217" s="173">
        <v>2.1</v>
      </c>
      <c r="Q217" s="172">
        <v>52.25</v>
      </c>
      <c r="R217" s="173">
        <v>4.7E-2</v>
      </c>
    </row>
    <row r="218" spans="11:18" x14ac:dyDescent="0.25">
      <c r="K218" s="172">
        <v>210</v>
      </c>
      <c r="L218" s="173">
        <v>2.1</v>
      </c>
      <c r="Q218" s="172">
        <v>52.5</v>
      </c>
      <c r="R218" s="173">
        <v>4.7E-2</v>
      </c>
    </row>
    <row r="219" spans="11:18" x14ac:dyDescent="0.25">
      <c r="K219" s="172">
        <v>211</v>
      </c>
      <c r="L219" s="173">
        <v>2.1</v>
      </c>
      <c r="Q219" s="172">
        <v>52.75</v>
      </c>
      <c r="R219" s="173">
        <v>4.7E-2</v>
      </c>
    </row>
    <row r="220" spans="11:18" x14ac:dyDescent="0.25">
      <c r="K220" s="172">
        <v>212</v>
      </c>
      <c r="L220" s="173">
        <v>2.1</v>
      </c>
      <c r="Q220" s="172">
        <v>53</v>
      </c>
      <c r="R220" s="173">
        <v>4.5999999999999999E-2</v>
      </c>
    </row>
    <row r="221" spans="11:18" x14ac:dyDescent="0.25">
      <c r="K221" s="172">
        <v>213</v>
      </c>
      <c r="L221" s="173">
        <v>2.1</v>
      </c>
      <c r="Q221" s="172">
        <v>53.25</v>
      </c>
      <c r="R221" s="173">
        <v>4.7E-2</v>
      </c>
    </row>
    <row r="222" spans="11:18" x14ac:dyDescent="0.25">
      <c r="K222" s="172">
        <v>214</v>
      </c>
      <c r="L222" s="173">
        <v>2.1</v>
      </c>
      <c r="Q222" s="172">
        <v>53.5</v>
      </c>
      <c r="R222" s="173">
        <v>4.7E-2</v>
      </c>
    </row>
    <row r="223" spans="11:18" x14ac:dyDescent="0.25">
      <c r="K223" s="172">
        <v>215</v>
      </c>
      <c r="L223" s="173">
        <v>2.1</v>
      </c>
      <c r="Q223" s="172">
        <v>53.75</v>
      </c>
      <c r="R223" s="173">
        <v>4.7E-2</v>
      </c>
    </row>
    <row r="224" spans="11:18" x14ac:dyDescent="0.25">
      <c r="K224" s="172">
        <v>216</v>
      </c>
      <c r="L224" s="173">
        <v>2.1</v>
      </c>
      <c r="Q224" s="172">
        <v>54</v>
      </c>
      <c r="R224" s="173">
        <v>4.7E-2</v>
      </c>
    </row>
    <row r="225" spans="11:18" x14ac:dyDescent="0.25">
      <c r="K225" s="172">
        <v>217</v>
      </c>
      <c r="L225" s="173">
        <v>2.1</v>
      </c>
      <c r="Q225" s="172">
        <v>54.25</v>
      </c>
      <c r="R225" s="173">
        <v>4.7E-2</v>
      </c>
    </row>
    <row r="226" spans="11:18" x14ac:dyDescent="0.25">
      <c r="K226" s="172">
        <v>218</v>
      </c>
      <c r="L226" s="173">
        <v>2.1</v>
      </c>
      <c r="Q226" s="172">
        <v>54.5</v>
      </c>
      <c r="R226" s="173">
        <v>4.7E-2</v>
      </c>
    </row>
    <row r="227" spans="11:18" x14ac:dyDescent="0.25">
      <c r="K227" s="172">
        <v>219</v>
      </c>
      <c r="L227" s="173">
        <v>2.1</v>
      </c>
      <c r="Q227" s="172">
        <v>54.75</v>
      </c>
      <c r="R227" s="173">
        <v>4.8000000000000001E-2</v>
      </c>
    </row>
    <row r="228" spans="11:18" x14ac:dyDescent="0.25">
      <c r="K228" s="172">
        <v>220</v>
      </c>
      <c r="L228" s="173">
        <v>2.1</v>
      </c>
      <c r="Q228" s="172">
        <v>55</v>
      </c>
      <c r="R228" s="173">
        <v>4.8000000000000001E-2</v>
      </c>
    </row>
    <row r="229" spans="11:18" x14ac:dyDescent="0.25">
      <c r="K229" s="172">
        <v>221</v>
      </c>
      <c r="L229" s="173">
        <v>2.1</v>
      </c>
      <c r="Q229" s="172">
        <v>55.25</v>
      </c>
      <c r="R229" s="173">
        <v>4.8000000000000001E-2</v>
      </c>
    </row>
    <row r="230" spans="11:18" x14ac:dyDescent="0.25">
      <c r="K230" s="172">
        <v>222</v>
      </c>
      <c r="L230" s="173">
        <v>2.1</v>
      </c>
      <c r="Q230" s="172">
        <v>55.5</v>
      </c>
      <c r="R230" s="173">
        <v>4.8000000000000001E-2</v>
      </c>
    </row>
    <row r="231" spans="11:18" x14ac:dyDescent="0.25">
      <c r="K231" s="172">
        <v>223</v>
      </c>
      <c r="L231" s="173">
        <v>2.1</v>
      </c>
      <c r="Q231" s="172">
        <v>55.75</v>
      </c>
      <c r="R231" s="173">
        <v>4.8000000000000001E-2</v>
      </c>
    </row>
    <row r="232" spans="11:18" x14ac:dyDescent="0.25">
      <c r="K232" s="172">
        <v>224</v>
      </c>
      <c r="L232" s="173">
        <v>2.1</v>
      </c>
      <c r="Q232" s="172">
        <v>56</v>
      </c>
      <c r="R232" s="173">
        <v>4.8000000000000001E-2</v>
      </c>
    </row>
    <row r="233" spans="11:18" x14ac:dyDescent="0.25">
      <c r="K233" s="172">
        <v>225</v>
      </c>
      <c r="L233" s="173">
        <v>2.1</v>
      </c>
      <c r="Q233" s="172">
        <v>56.25</v>
      </c>
      <c r="R233" s="173">
        <v>4.8000000000000001E-2</v>
      </c>
    </row>
    <row r="234" spans="11:18" x14ac:dyDescent="0.25">
      <c r="K234" s="172">
        <v>226</v>
      </c>
      <c r="L234" s="173">
        <v>2.1</v>
      </c>
      <c r="Q234" s="172">
        <v>56.5</v>
      </c>
      <c r="R234" s="173">
        <v>4.8000000000000001E-2</v>
      </c>
    </row>
    <row r="235" spans="11:18" x14ac:dyDescent="0.25">
      <c r="K235" s="172">
        <v>227</v>
      </c>
      <c r="L235" s="173">
        <v>2.1</v>
      </c>
      <c r="Q235" s="172">
        <v>56.75</v>
      </c>
      <c r="R235" s="173">
        <v>4.9000000000000002E-2</v>
      </c>
    </row>
    <row r="236" spans="11:18" x14ac:dyDescent="0.25">
      <c r="K236" s="172">
        <v>228</v>
      </c>
      <c r="L236" s="173">
        <v>2.1</v>
      </c>
      <c r="Q236" s="172">
        <v>57</v>
      </c>
      <c r="R236" s="173">
        <v>4.5999999999999999E-2</v>
      </c>
    </row>
    <row r="237" spans="11:18" x14ac:dyDescent="0.25">
      <c r="K237" s="172">
        <v>229</v>
      </c>
      <c r="L237" s="173">
        <v>2.1</v>
      </c>
      <c r="Q237" s="172">
        <v>57.25</v>
      </c>
      <c r="R237" s="173">
        <v>4.5999999999999999E-2</v>
      </c>
    </row>
    <row r="238" spans="11:18" x14ac:dyDescent="0.25">
      <c r="K238" s="172">
        <v>230</v>
      </c>
      <c r="L238" s="173">
        <v>2.1</v>
      </c>
      <c r="Q238" s="172">
        <v>57.5</v>
      </c>
      <c r="R238" s="173">
        <v>4.8000000000000001E-2</v>
      </c>
    </row>
    <row r="239" spans="11:18" x14ac:dyDescent="0.25">
      <c r="K239" s="172">
        <v>231</v>
      </c>
      <c r="L239" s="173">
        <v>2.1</v>
      </c>
      <c r="Q239" s="172">
        <v>57.75</v>
      </c>
      <c r="R239" s="173">
        <v>4.8000000000000001E-2</v>
      </c>
    </row>
    <row r="240" spans="11:18" x14ac:dyDescent="0.25">
      <c r="K240" s="172">
        <v>232</v>
      </c>
      <c r="L240" s="173">
        <v>2.1</v>
      </c>
      <c r="Q240" s="172">
        <v>58</v>
      </c>
      <c r="R240" s="173">
        <v>4.7E-2</v>
      </c>
    </row>
    <row r="241" spans="11:18" x14ac:dyDescent="0.25">
      <c r="K241" s="172">
        <v>233</v>
      </c>
      <c r="L241" s="173">
        <v>2.1</v>
      </c>
      <c r="Q241" s="172">
        <v>58.25</v>
      </c>
      <c r="R241" s="173">
        <v>4.4999999999999998E-2</v>
      </c>
    </row>
    <row r="242" spans="11:18" x14ac:dyDescent="0.25">
      <c r="K242" s="172">
        <v>234</v>
      </c>
      <c r="L242" s="173">
        <v>2.08</v>
      </c>
      <c r="Q242" s="172">
        <v>58.5</v>
      </c>
      <c r="R242" s="173">
        <v>4.3999999999999997E-2</v>
      </c>
    </row>
    <row r="243" spans="11:18" x14ac:dyDescent="0.25">
      <c r="K243" s="172">
        <v>235</v>
      </c>
      <c r="L243" s="173">
        <v>2.0499999999999998</v>
      </c>
      <c r="Q243" s="172">
        <v>58.75</v>
      </c>
      <c r="R243" s="173">
        <v>5.7000000000000002E-2</v>
      </c>
    </row>
    <row r="244" spans="11:18" x14ac:dyDescent="0.25">
      <c r="K244" s="172">
        <v>236</v>
      </c>
      <c r="L244" s="173">
        <v>2.02</v>
      </c>
      <c r="Q244" s="172">
        <v>59</v>
      </c>
      <c r="R244" s="173">
        <v>0.05</v>
      </c>
    </row>
    <row r="245" spans="11:18" x14ac:dyDescent="0.25">
      <c r="K245" s="172">
        <v>237</v>
      </c>
      <c r="L245" s="173">
        <v>1.99</v>
      </c>
      <c r="Q245" s="172">
        <v>59.25</v>
      </c>
      <c r="R245" s="173">
        <v>4.2999999999999997E-2</v>
      </c>
    </row>
    <row r="246" spans="11:18" x14ac:dyDescent="0.25">
      <c r="K246" s="172">
        <v>238</v>
      </c>
      <c r="L246" s="173">
        <v>1.97</v>
      </c>
      <c r="Q246" s="172">
        <v>59.5</v>
      </c>
      <c r="R246" s="173">
        <v>4.2000000000000003E-2</v>
      </c>
    </row>
    <row r="247" spans="11:18" x14ac:dyDescent="0.25">
      <c r="K247" s="172">
        <v>239</v>
      </c>
      <c r="L247" s="173">
        <v>1.94</v>
      </c>
      <c r="Q247" s="172">
        <v>59.75</v>
      </c>
      <c r="R247" s="173">
        <v>4.2000000000000003E-2</v>
      </c>
    </row>
    <row r="248" spans="11:18" x14ac:dyDescent="0.25">
      <c r="K248" s="172">
        <v>240</v>
      </c>
      <c r="L248" s="173">
        <v>1.91</v>
      </c>
      <c r="Q248" s="172">
        <v>60</v>
      </c>
      <c r="R248" s="173">
        <v>4.2999999999999997E-2</v>
      </c>
    </row>
    <row r="249" spans="11:18" x14ac:dyDescent="0.25">
      <c r="K249" s="172">
        <v>241</v>
      </c>
      <c r="L249" s="173">
        <v>1.89</v>
      </c>
      <c r="Q249" s="172">
        <v>60.25</v>
      </c>
      <c r="R249" s="173">
        <v>4.5999999999999999E-2</v>
      </c>
    </row>
    <row r="250" spans="11:18" x14ac:dyDescent="0.25">
      <c r="K250" s="172">
        <v>242</v>
      </c>
      <c r="L250" s="173">
        <v>1.86</v>
      </c>
      <c r="Q250" s="172">
        <v>60.5</v>
      </c>
      <c r="R250" s="173">
        <v>4.7E-2</v>
      </c>
    </row>
    <row r="251" spans="11:18" x14ac:dyDescent="0.25">
      <c r="K251" s="172">
        <v>243</v>
      </c>
      <c r="L251" s="173">
        <v>1.84</v>
      </c>
      <c r="Q251" s="172">
        <v>60.75</v>
      </c>
      <c r="R251" s="173">
        <v>4.7E-2</v>
      </c>
    </row>
    <row r="252" spans="11:18" x14ac:dyDescent="0.25">
      <c r="K252" s="172">
        <v>244</v>
      </c>
      <c r="L252" s="173">
        <v>1.81</v>
      </c>
      <c r="Q252" s="172">
        <v>61</v>
      </c>
      <c r="R252" s="173">
        <v>4.3999999999999997E-2</v>
      </c>
    </row>
    <row r="253" spans="11:18" x14ac:dyDescent="0.25">
      <c r="K253" s="172">
        <v>245</v>
      </c>
      <c r="L253" s="173">
        <v>1.79</v>
      </c>
      <c r="Q253" s="172">
        <v>61.25</v>
      </c>
      <c r="R253" s="173">
        <v>4.3999999999999997E-2</v>
      </c>
    </row>
    <row r="254" spans="11:18" x14ac:dyDescent="0.25">
      <c r="K254" s="172">
        <v>246</v>
      </c>
      <c r="L254" s="173">
        <v>1.77</v>
      </c>
      <c r="Q254" s="172">
        <v>61.5</v>
      </c>
      <c r="R254" s="173">
        <v>4.4999999999999998E-2</v>
      </c>
    </row>
    <row r="255" spans="11:18" x14ac:dyDescent="0.25">
      <c r="K255" s="172">
        <v>247</v>
      </c>
      <c r="L255" s="173">
        <v>1.74</v>
      </c>
      <c r="Q255" s="172">
        <v>61.75</v>
      </c>
      <c r="R255" s="173">
        <v>4.4999999999999998E-2</v>
      </c>
    </row>
    <row r="256" spans="11:18" x14ac:dyDescent="0.25">
      <c r="K256" s="172">
        <v>248</v>
      </c>
      <c r="L256" s="173">
        <v>1.72</v>
      </c>
      <c r="Q256" s="172">
        <v>62</v>
      </c>
      <c r="R256" s="173">
        <v>4.4999999999999998E-2</v>
      </c>
    </row>
    <row r="257" spans="11:18" x14ac:dyDescent="0.25">
      <c r="K257" s="172">
        <v>249</v>
      </c>
      <c r="L257" s="173">
        <v>1.7</v>
      </c>
      <c r="Q257" s="172">
        <v>62.25</v>
      </c>
      <c r="R257" s="173">
        <v>4.5999999999999999E-2</v>
      </c>
    </row>
    <row r="258" spans="11:18" x14ac:dyDescent="0.25">
      <c r="K258" s="172">
        <v>250</v>
      </c>
      <c r="L258" s="173">
        <v>1.68</v>
      </c>
      <c r="Q258" s="172">
        <v>62.5</v>
      </c>
      <c r="R258" s="173">
        <v>4.5999999999999999E-2</v>
      </c>
    </row>
    <row r="259" spans="11:18" x14ac:dyDescent="0.25">
      <c r="K259" s="172">
        <v>251</v>
      </c>
      <c r="L259" s="173">
        <v>1.66</v>
      </c>
      <c r="Q259" s="172">
        <v>62.75</v>
      </c>
      <c r="R259" s="173">
        <v>4.5999999999999999E-2</v>
      </c>
    </row>
    <row r="260" spans="11:18" x14ac:dyDescent="0.25">
      <c r="K260" s="172">
        <v>252</v>
      </c>
      <c r="L260" s="173">
        <v>1.64</v>
      </c>
      <c r="Q260" s="172">
        <v>63</v>
      </c>
      <c r="R260" s="173">
        <v>4.5999999999999999E-2</v>
      </c>
    </row>
    <row r="261" spans="11:18" x14ac:dyDescent="0.25">
      <c r="K261" s="172">
        <v>253</v>
      </c>
      <c r="L261" s="173">
        <v>1.62</v>
      </c>
      <c r="Q261" s="172">
        <v>63.25</v>
      </c>
      <c r="R261" s="173">
        <v>4.5999999999999999E-2</v>
      </c>
    </row>
    <row r="262" spans="11:18" x14ac:dyDescent="0.25">
      <c r="K262" s="172">
        <v>254</v>
      </c>
      <c r="L262" s="173">
        <v>1.59</v>
      </c>
      <c r="Q262" s="172">
        <v>63.5</v>
      </c>
      <c r="R262" s="173">
        <v>4.5999999999999999E-2</v>
      </c>
    </row>
    <row r="263" spans="11:18" x14ac:dyDescent="0.25">
      <c r="K263" s="172">
        <v>255</v>
      </c>
      <c r="L263" s="173">
        <v>1.57</v>
      </c>
      <c r="Q263" s="172">
        <v>63.75</v>
      </c>
      <c r="R263" s="173">
        <v>4.5999999999999999E-2</v>
      </c>
    </row>
    <row r="264" spans="11:18" x14ac:dyDescent="0.25">
      <c r="K264" s="172">
        <v>256</v>
      </c>
      <c r="L264" s="173">
        <v>1.55</v>
      </c>
      <c r="Q264" s="172">
        <v>64</v>
      </c>
      <c r="R264" s="173">
        <v>4.5999999999999999E-2</v>
      </c>
    </row>
    <row r="265" spans="11:18" x14ac:dyDescent="0.25">
      <c r="K265" s="172">
        <v>257</v>
      </c>
      <c r="L265" s="173">
        <v>1.54</v>
      </c>
      <c r="Q265" s="172">
        <v>64.25</v>
      </c>
      <c r="R265" s="173">
        <v>4.5999999999999999E-2</v>
      </c>
    </row>
    <row r="266" spans="11:18" x14ac:dyDescent="0.25">
      <c r="K266" s="172">
        <v>258</v>
      </c>
      <c r="L266" s="173">
        <v>1.52</v>
      </c>
      <c r="Q266" s="172">
        <v>64.5</v>
      </c>
      <c r="R266" s="173">
        <v>4.5999999999999999E-2</v>
      </c>
    </row>
    <row r="267" spans="11:18" x14ac:dyDescent="0.25">
      <c r="K267" s="172">
        <v>259</v>
      </c>
      <c r="L267" s="173">
        <v>1.5</v>
      </c>
      <c r="Q267" s="172">
        <v>64.75</v>
      </c>
      <c r="R267" s="173">
        <v>4.5999999999999999E-2</v>
      </c>
    </row>
    <row r="268" spans="11:18" x14ac:dyDescent="0.25">
      <c r="K268" s="172">
        <v>260</v>
      </c>
      <c r="L268" s="173">
        <v>1.48</v>
      </c>
      <c r="Q268" s="172">
        <v>65</v>
      </c>
      <c r="R268" s="173">
        <v>4.5999999999999999E-2</v>
      </c>
    </row>
    <row r="269" spans="11:18" x14ac:dyDescent="0.25">
      <c r="K269" s="172">
        <v>261</v>
      </c>
      <c r="L269" s="173">
        <v>1.46</v>
      </c>
      <c r="Q269" s="172">
        <v>65.25</v>
      </c>
      <c r="R269" s="173">
        <v>4.5999999999999999E-2</v>
      </c>
    </row>
    <row r="270" spans="11:18" x14ac:dyDescent="0.25">
      <c r="K270" s="172">
        <v>262</v>
      </c>
      <c r="L270" s="173">
        <v>1.44</v>
      </c>
      <c r="Q270" s="172">
        <v>65.5</v>
      </c>
      <c r="R270" s="173">
        <v>4.5999999999999999E-2</v>
      </c>
    </row>
    <row r="271" spans="11:18" x14ac:dyDescent="0.25">
      <c r="K271" s="172">
        <v>263</v>
      </c>
      <c r="L271" s="173">
        <v>1.43</v>
      </c>
      <c r="Q271" s="172">
        <v>65.75</v>
      </c>
      <c r="R271" s="173">
        <v>4.5999999999999999E-2</v>
      </c>
    </row>
    <row r="272" spans="11:18" x14ac:dyDescent="0.25">
      <c r="K272" s="172">
        <v>264</v>
      </c>
      <c r="L272" s="173">
        <v>1.41</v>
      </c>
      <c r="Q272" s="172">
        <v>66</v>
      </c>
      <c r="R272" s="173">
        <v>4.5999999999999999E-2</v>
      </c>
    </row>
    <row r="273" spans="11:18" x14ac:dyDescent="0.25">
      <c r="K273" s="172">
        <v>265</v>
      </c>
      <c r="L273" s="173">
        <v>1.39</v>
      </c>
      <c r="Q273" s="172">
        <v>66.25</v>
      </c>
      <c r="R273" s="173">
        <v>4.5999999999999999E-2</v>
      </c>
    </row>
    <row r="274" spans="11:18" x14ac:dyDescent="0.25">
      <c r="K274" s="172">
        <v>266</v>
      </c>
      <c r="L274" s="173">
        <v>1.37</v>
      </c>
      <c r="Q274" s="172">
        <v>66.5</v>
      </c>
      <c r="R274" s="173">
        <v>4.7E-2</v>
      </c>
    </row>
    <row r="275" spans="11:18" x14ac:dyDescent="0.25">
      <c r="K275" s="172">
        <v>267</v>
      </c>
      <c r="L275" s="173">
        <v>1.36</v>
      </c>
      <c r="Q275" s="172">
        <v>66.75</v>
      </c>
      <c r="R275" s="173">
        <v>4.7E-2</v>
      </c>
    </row>
    <row r="276" spans="11:18" x14ac:dyDescent="0.25">
      <c r="K276" s="172">
        <v>268</v>
      </c>
      <c r="L276" s="173">
        <v>1.34</v>
      </c>
      <c r="Q276" s="172">
        <v>67</v>
      </c>
      <c r="R276" s="173">
        <v>4.5999999999999999E-2</v>
      </c>
    </row>
    <row r="277" spans="11:18" x14ac:dyDescent="0.25">
      <c r="K277" s="172">
        <v>269</v>
      </c>
      <c r="L277" s="173">
        <v>1.33</v>
      </c>
      <c r="Q277" s="172">
        <v>67.25</v>
      </c>
      <c r="R277" s="173">
        <v>4.4999999999999998E-2</v>
      </c>
    </row>
    <row r="278" spans="11:18" x14ac:dyDescent="0.25">
      <c r="K278" s="172">
        <v>270</v>
      </c>
      <c r="L278" s="173">
        <v>1.31</v>
      </c>
      <c r="Q278" s="172">
        <v>67.5</v>
      </c>
      <c r="R278" s="173">
        <v>3.9E-2</v>
      </c>
    </row>
    <row r="279" spans="11:18" x14ac:dyDescent="0.25">
      <c r="K279" s="172">
        <v>271</v>
      </c>
      <c r="L279" s="173">
        <v>1.3</v>
      </c>
      <c r="Q279" s="172">
        <v>67.75</v>
      </c>
      <c r="R279" s="173">
        <v>4.2999999999999997E-2</v>
      </c>
    </row>
    <row r="280" spans="11:18" x14ac:dyDescent="0.25">
      <c r="K280" s="172">
        <v>272</v>
      </c>
      <c r="L280" s="173">
        <v>1.28</v>
      </c>
      <c r="Q280" s="172">
        <v>68</v>
      </c>
      <c r="R280" s="173">
        <v>4.4999999999999998E-2</v>
      </c>
    </row>
    <row r="281" spans="11:18" x14ac:dyDescent="0.25">
      <c r="K281" s="172">
        <v>273</v>
      </c>
      <c r="L281" s="173">
        <v>1.27</v>
      </c>
      <c r="Q281" s="172">
        <v>68.25</v>
      </c>
      <c r="R281" s="173">
        <v>4.4999999999999998E-2</v>
      </c>
    </row>
    <row r="282" spans="11:18" x14ac:dyDescent="0.25">
      <c r="K282" s="172">
        <v>274</v>
      </c>
      <c r="L282" s="173">
        <v>1.25</v>
      </c>
      <c r="Q282" s="172">
        <v>68.5</v>
      </c>
      <c r="R282" s="173">
        <v>4.4999999999999998E-2</v>
      </c>
    </row>
    <row r="283" spans="11:18" x14ac:dyDescent="0.25">
      <c r="K283" s="172">
        <v>275</v>
      </c>
      <c r="L283" s="173">
        <v>1.24</v>
      </c>
      <c r="Q283" s="172">
        <v>68.75</v>
      </c>
      <c r="R283" s="173">
        <v>4.4999999999999998E-2</v>
      </c>
    </row>
    <row r="284" spans="11:18" x14ac:dyDescent="0.25">
      <c r="K284" s="172">
        <v>276</v>
      </c>
      <c r="L284" s="173">
        <v>1.22</v>
      </c>
      <c r="Q284" s="172">
        <v>69</v>
      </c>
      <c r="R284" s="173">
        <v>4.4999999999999998E-2</v>
      </c>
    </row>
    <row r="285" spans="11:18" x14ac:dyDescent="0.25">
      <c r="K285" s="172">
        <v>277</v>
      </c>
      <c r="L285" s="173">
        <v>1.21</v>
      </c>
      <c r="Q285" s="172">
        <v>69.25</v>
      </c>
      <c r="R285" s="173">
        <v>4.5999999999999999E-2</v>
      </c>
    </row>
    <row r="286" spans="11:18" x14ac:dyDescent="0.25">
      <c r="K286" s="172">
        <v>278</v>
      </c>
      <c r="L286" s="173">
        <v>1.19</v>
      </c>
      <c r="Q286" s="172">
        <v>69.5</v>
      </c>
      <c r="R286" s="173">
        <v>4.5999999999999999E-2</v>
      </c>
    </row>
    <row r="287" spans="11:18" x14ac:dyDescent="0.25">
      <c r="K287" s="172">
        <v>279</v>
      </c>
      <c r="L287" s="173">
        <v>1.18</v>
      </c>
      <c r="Q287" s="172">
        <v>69.75</v>
      </c>
      <c r="R287" s="173">
        <v>4.5999999999999999E-2</v>
      </c>
    </row>
    <row r="288" spans="11:18" x14ac:dyDescent="0.25">
      <c r="K288" s="172">
        <v>280</v>
      </c>
      <c r="L288" s="173">
        <v>1.17</v>
      </c>
      <c r="Q288" s="172">
        <v>70</v>
      </c>
      <c r="R288" s="173">
        <v>4.5999999999999999E-2</v>
      </c>
    </row>
    <row r="289" spans="11:18" x14ac:dyDescent="0.25">
      <c r="K289" s="172">
        <v>281</v>
      </c>
      <c r="L289" s="173">
        <v>1.1499999999999999</v>
      </c>
      <c r="Q289" s="172">
        <v>70.25</v>
      </c>
      <c r="R289" s="173">
        <v>4.5999999999999999E-2</v>
      </c>
    </row>
    <row r="290" spans="11:18" x14ac:dyDescent="0.25">
      <c r="K290" s="172">
        <v>282</v>
      </c>
      <c r="L290" s="173">
        <v>1.1399999999999999</v>
      </c>
      <c r="Q290" s="172">
        <v>70.5</v>
      </c>
      <c r="R290" s="173">
        <v>4.5999999999999999E-2</v>
      </c>
    </row>
    <row r="291" spans="11:18" x14ac:dyDescent="0.25">
      <c r="K291" s="172">
        <v>283</v>
      </c>
      <c r="L291" s="173">
        <v>1.1299999999999999</v>
      </c>
      <c r="Q291" s="172">
        <v>70.75</v>
      </c>
      <c r="R291" s="173">
        <v>4.5999999999999999E-2</v>
      </c>
    </row>
    <row r="292" spans="11:18" x14ac:dyDescent="0.25">
      <c r="K292" s="172">
        <v>284</v>
      </c>
      <c r="L292" s="173">
        <v>1.1200000000000001</v>
      </c>
      <c r="Q292" s="172">
        <v>71</v>
      </c>
      <c r="R292" s="173">
        <v>4.5999999999999999E-2</v>
      </c>
    </row>
    <row r="293" spans="11:18" x14ac:dyDescent="0.25">
      <c r="K293" s="172">
        <v>285</v>
      </c>
      <c r="L293" s="173">
        <v>1.1000000000000001</v>
      </c>
      <c r="Q293" s="172">
        <v>71.25</v>
      </c>
      <c r="R293" s="173">
        <v>4.5999999999999999E-2</v>
      </c>
    </row>
    <row r="294" spans="11:18" x14ac:dyDescent="0.25">
      <c r="K294" s="172">
        <v>286</v>
      </c>
      <c r="L294" s="173">
        <v>1.0900000000000001</v>
      </c>
      <c r="Q294" s="172">
        <v>71.5</v>
      </c>
      <c r="R294" s="173">
        <v>4.5999999999999999E-2</v>
      </c>
    </row>
    <row r="295" spans="11:18" x14ac:dyDescent="0.25">
      <c r="K295" s="172">
        <v>287</v>
      </c>
      <c r="L295" s="173">
        <v>1.08</v>
      </c>
      <c r="Q295" s="172">
        <v>71.75</v>
      </c>
      <c r="R295" s="173">
        <v>4.5999999999999999E-2</v>
      </c>
    </row>
    <row r="296" spans="11:18" x14ac:dyDescent="0.25">
      <c r="K296" s="172">
        <v>288</v>
      </c>
      <c r="L296" s="173">
        <v>1.07</v>
      </c>
      <c r="Q296" s="172">
        <v>72</v>
      </c>
      <c r="R296" s="173">
        <v>4.5999999999999999E-2</v>
      </c>
    </row>
    <row r="297" spans="11:18" x14ac:dyDescent="0.25">
      <c r="K297" s="172">
        <v>289</v>
      </c>
      <c r="L297" s="173">
        <v>1.06</v>
      </c>
      <c r="Q297" s="172">
        <v>72.25</v>
      </c>
      <c r="R297" s="173">
        <v>4.5999999999999999E-2</v>
      </c>
    </row>
    <row r="298" spans="11:18" x14ac:dyDescent="0.25">
      <c r="K298" s="172">
        <v>290</v>
      </c>
      <c r="L298" s="173">
        <v>1.05</v>
      </c>
      <c r="Q298" s="172">
        <v>72.5</v>
      </c>
      <c r="R298" s="173">
        <v>4.5999999999999999E-2</v>
      </c>
    </row>
    <row r="299" spans="11:18" x14ac:dyDescent="0.25">
      <c r="K299" s="172">
        <v>291</v>
      </c>
      <c r="L299" s="173">
        <v>1.04</v>
      </c>
      <c r="Q299" s="172">
        <v>72.75</v>
      </c>
      <c r="R299" s="173">
        <v>4.5999999999999999E-2</v>
      </c>
    </row>
    <row r="300" spans="11:18" x14ac:dyDescent="0.25">
      <c r="K300" s="172">
        <v>292</v>
      </c>
      <c r="L300" s="173">
        <v>1.03</v>
      </c>
      <c r="Q300" s="172">
        <v>73</v>
      </c>
      <c r="R300" s="173">
        <v>4.5999999999999999E-2</v>
      </c>
    </row>
    <row r="301" spans="11:18" x14ac:dyDescent="0.25">
      <c r="K301" s="172">
        <v>293</v>
      </c>
      <c r="L301" s="173">
        <v>1.01</v>
      </c>
      <c r="Q301" s="172">
        <v>73.25</v>
      </c>
      <c r="R301" s="173">
        <v>4.5999999999999999E-2</v>
      </c>
    </row>
    <row r="302" spans="11:18" x14ac:dyDescent="0.25">
      <c r="K302" s="172">
        <v>294</v>
      </c>
      <c r="L302" s="173">
        <v>1</v>
      </c>
      <c r="Q302" s="172">
        <v>73.5</v>
      </c>
      <c r="R302" s="173">
        <v>4.5999999999999999E-2</v>
      </c>
    </row>
    <row r="303" spans="11:18" x14ac:dyDescent="0.25">
      <c r="K303" s="172">
        <v>295</v>
      </c>
      <c r="L303" s="173">
        <v>0.99</v>
      </c>
      <c r="Q303" s="172">
        <v>73.75</v>
      </c>
      <c r="R303" s="173">
        <v>4.5999999999999999E-2</v>
      </c>
    </row>
    <row r="304" spans="11:18" x14ac:dyDescent="0.25">
      <c r="K304" s="172">
        <v>296</v>
      </c>
      <c r="L304" s="173">
        <v>0.98</v>
      </c>
      <c r="Q304" s="172">
        <v>74</v>
      </c>
      <c r="R304" s="173">
        <v>4.5999999999999999E-2</v>
      </c>
    </row>
    <row r="305" spans="11:18" x14ac:dyDescent="0.25">
      <c r="K305" s="172">
        <v>297</v>
      </c>
      <c r="L305" s="173">
        <v>0.97</v>
      </c>
      <c r="Q305" s="172">
        <v>74.25</v>
      </c>
      <c r="R305" s="173">
        <v>4.5999999999999999E-2</v>
      </c>
    </row>
    <row r="306" spans="11:18" x14ac:dyDescent="0.25">
      <c r="K306" s="172">
        <v>298</v>
      </c>
      <c r="L306" s="173">
        <v>0.96</v>
      </c>
      <c r="Q306" s="172">
        <v>74.5</v>
      </c>
      <c r="R306" s="173">
        <v>4.5999999999999999E-2</v>
      </c>
    </row>
    <row r="307" spans="11:18" x14ac:dyDescent="0.25">
      <c r="K307" s="172">
        <v>299</v>
      </c>
      <c r="L307" s="173">
        <v>0.95</v>
      </c>
      <c r="Q307" s="172">
        <v>74.75</v>
      </c>
      <c r="R307" s="173">
        <v>4.5999999999999999E-2</v>
      </c>
    </row>
    <row r="308" spans="11:18" x14ac:dyDescent="0.25">
      <c r="K308" s="172">
        <v>300</v>
      </c>
      <c r="L308" s="173">
        <v>0.94</v>
      </c>
      <c r="Q308" s="172">
        <v>75</v>
      </c>
      <c r="R308" s="173">
        <v>4.5999999999999999E-2</v>
      </c>
    </row>
    <row r="309" spans="11:18" x14ac:dyDescent="0.25">
      <c r="K309" s="172">
        <v>301</v>
      </c>
      <c r="L309" s="173">
        <v>0.94</v>
      </c>
      <c r="Q309" s="172">
        <v>75.25</v>
      </c>
      <c r="R309" s="173">
        <v>4.5999999999999999E-2</v>
      </c>
    </row>
    <row r="310" spans="11:18" x14ac:dyDescent="0.25">
      <c r="K310" s="172">
        <v>302</v>
      </c>
      <c r="L310" s="173">
        <v>0.93</v>
      </c>
      <c r="Q310" s="172">
        <v>75.5</v>
      </c>
      <c r="R310" s="173">
        <v>4.5999999999999999E-2</v>
      </c>
    </row>
    <row r="311" spans="11:18" x14ac:dyDescent="0.25">
      <c r="K311" s="172">
        <v>303</v>
      </c>
      <c r="L311" s="173">
        <v>0.92</v>
      </c>
      <c r="Q311" s="172">
        <v>75.75</v>
      </c>
      <c r="R311" s="173">
        <v>4.5999999999999999E-2</v>
      </c>
    </row>
    <row r="312" spans="11:18" x14ac:dyDescent="0.25">
      <c r="K312" s="172">
        <v>304</v>
      </c>
      <c r="L312" s="173">
        <v>0.91</v>
      </c>
      <c r="Q312" s="172">
        <v>76</v>
      </c>
      <c r="R312" s="173">
        <v>4.5999999999999999E-2</v>
      </c>
    </row>
    <row r="313" spans="11:18" x14ac:dyDescent="0.25">
      <c r="K313" s="172">
        <v>305</v>
      </c>
      <c r="L313" s="173">
        <v>0.9</v>
      </c>
      <c r="Q313" s="172">
        <v>76.25</v>
      </c>
      <c r="R313" s="173">
        <v>4.4999999999999998E-2</v>
      </c>
    </row>
    <row r="314" spans="11:18" x14ac:dyDescent="0.25">
      <c r="K314" s="172">
        <v>306</v>
      </c>
      <c r="L314" s="173">
        <v>0.89</v>
      </c>
      <c r="Q314" s="172">
        <v>76.5</v>
      </c>
      <c r="R314" s="173">
        <v>4.4999999999999998E-2</v>
      </c>
    </row>
    <row r="315" spans="11:18" x14ac:dyDescent="0.25">
      <c r="K315" s="172">
        <v>307</v>
      </c>
      <c r="L315" s="173">
        <v>0.88</v>
      </c>
      <c r="Q315" s="172">
        <v>76.75</v>
      </c>
      <c r="R315" s="173">
        <v>4.4999999999999998E-2</v>
      </c>
    </row>
    <row r="316" spans="11:18" x14ac:dyDescent="0.25">
      <c r="K316" s="172">
        <v>308</v>
      </c>
      <c r="L316" s="173">
        <v>0.87</v>
      </c>
      <c r="Q316" s="172">
        <v>77</v>
      </c>
      <c r="R316" s="173">
        <v>4.3999999999999997E-2</v>
      </c>
    </row>
    <row r="317" spans="11:18" x14ac:dyDescent="0.25">
      <c r="K317" s="172">
        <v>309</v>
      </c>
      <c r="L317" s="173">
        <v>0.87</v>
      </c>
      <c r="Q317" s="172">
        <v>77.25</v>
      </c>
      <c r="R317" s="173">
        <v>4.4999999999999998E-2</v>
      </c>
    </row>
    <row r="318" spans="11:18" x14ac:dyDescent="0.25">
      <c r="K318" s="172">
        <v>310</v>
      </c>
      <c r="L318" s="173">
        <v>0.86</v>
      </c>
      <c r="Q318" s="172">
        <v>77.5</v>
      </c>
      <c r="R318" s="173">
        <v>4.5999999999999999E-2</v>
      </c>
    </row>
    <row r="319" spans="11:18" x14ac:dyDescent="0.25">
      <c r="K319" s="172">
        <v>311</v>
      </c>
      <c r="L319" s="173">
        <v>0.85</v>
      </c>
      <c r="Q319" s="172">
        <v>77.75</v>
      </c>
      <c r="R319" s="173">
        <v>4.4999999999999998E-2</v>
      </c>
    </row>
    <row r="320" spans="11:18" x14ac:dyDescent="0.25">
      <c r="K320" s="172">
        <v>312</v>
      </c>
      <c r="L320" s="173">
        <v>0.84</v>
      </c>
      <c r="Q320" s="172">
        <v>78</v>
      </c>
      <c r="R320" s="173">
        <v>4.4999999999999998E-2</v>
      </c>
    </row>
    <row r="321" spans="11:18" x14ac:dyDescent="0.25">
      <c r="K321" s="172">
        <v>313</v>
      </c>
      <c r="L321" s="173">
        <v>0.83</v>
      </c>
      <c r="Q321" s="172">
        <v>78.25</v>
      </c>
      <c r="R321" s="173">
        <v>4.4999999999999998E-2</v>
      </c>
    </row>
    <row r="322" spans="11:18" x14ac:dyDescent="0.25">
      <c r="K322" s="172">
        <v>314</v>
      </c>
      <c r="L322" s="173">
        <v>0.83</v>
      </c>
      <c r="Q322" s="172">
        <v>78.5</v>
      </c>
      <c r="R322" s="173">
        <v>4.4999999999999998E-2</v>
      </c>
    </row>
    <row r="323" spans="11:18" x14ac:dyDescent="0.25">
      <c r="K323" s="172">
        <v>315</v>
      </c>
      <c r="L323" s="173">
        <v>0.82</v>
      </c>
      <c r="Q323" s="172">
        <v>78.75</v>
      </c>
      <c r="R323" s="173">
        <v>4.4999999999999998E-2</v>
      </c>
    </row>
    <row r="324" spans="11:18" x14ac:dyDescent="0.25">
      <c r="K324" s="172">
        <v>316</v>
      </c>
      <c r="L324" s="173">
        <v>0.81</v>
      </c>
      <c r="Q324" s="172">
        <v>79</v>
      </c>
      <c r="R324" s="173">
        <v>4.4999999999999998E-2</v>
      </c>
    </row>
    <row r="325" spans="11:18" x14ac:dyDescent="0.25">
      <c r="K325" s="172">
        <v>317</v>
      </c>
      <c r="L325" s="173">
        <v>0.81</v>
      </c>
      <c r="Q325" s="172">
        <v>79.25</v>
      </c>
      <c r="R325" s="173">
        <v>4.4999999999999998E-2</v>
      </c>
    </row>
    <row r="326" spans="11:18" x14ac:dyDescent="0.25">
      <c r="K326" s="172">
        <v>318</v>
      </c>
      <c r="L326" s="173">
        <v>0.8</v>
      </c>
      <c r="Q326" s="172">
        <v>79.5</v>
      </c>
      <c r="R326" s="173">
        <v>5.3999999999999999E-2</v>
      </c>
    </row>
    <row r="327" spans="11:18" x14ac:dyDescent="0.25">
      <c r="K327" s="172">
        <v>319</v>
      </c>
      <c r="L327" s="173">
        <v>0.79</v>
      </c>
      <c r="Q327" s="172">
        <v>79.75</v>
      </c>
      <c r="R327" s="173">
        <v>4.9000000000000002E-2</v>
      </c>
    </row>
    <row r="328" spans="11:18" x14ac:dyDescent="0.25">
      <c r="K328" s="172">
        <v>320</v>
      </c>
      <c r="L328" s="173">
        <v>0.78</v>
      </c>
      <c r="Q328" s="172">
        <v>80</v>
      </c>
      <c r="R328" s="173">
        <v>4.4999999999999998E-2</v>
      </c>
    </row>
    <row r="329" spans="11:18" x14ac:dyDescent="0.25">
      <c r="K329" s="172">
        <v>321</v>
      </c>
      <c r="L329" s="173">
        <v>0.78</v>
      </c>
      <c r="Q329" s="172">
        <v>80.25</v>
      </c>
      <c r="R329" s="173">
        <v>4.4999999999999998E-2</v>
      </c>
    </row>
    <row r="330" spans="11:18" x14ac:dyDescent="0.25">
      <c r="K330" s="172">
        <v>322</v>
      </c>
      <c r="L330" s="173">
        <v>0.77</v>
      </c>
      <c r="Q330" s="172">
        <v>80.5</v>
      </c>
      <c r="R330" s="173">
        <v>4.4999999999999998E-2</v>
      </c>
    </row>
    <row r="331" spans="11:18" x14ac:dyDescent="0.25">
      <c r="K331" s="172">
        <v>323</v>
      </c>
      <c r="L331" s="173">
        <v>0.76</v>
      </c>
      <c r="Q331" s="172">
        <v>80.75</v>
      </c>
      <c r="R331" s="173">
        <v>4.3999999999999997E-2</v>
      </c>
    </row>
    <row r="332" spans="11:18" x14ac:dyDescent="0.25">
      <c r="K332" s="172">
        <v>324</v>
      </c>
      <c r="L332" s="173">
        <v>0.76</v>
      </c>
      <c r="Q332" s="172">
        <v>81</v>
      </c>
      <c r="R332" s="173">
        <v>4.2999999999999997E-2</v>
      </c>
    </row>
    <row r="333" spans="11:18" x14ac:dyDescent="0.25">
      <c r="K333" s="172">
        <v>325</v>
      </c>
      <c r="L333" s="173">
        <v>0.75</v>
      </c>
      <c r="Q333" s="172">
        <v>81.25</v>
      </c>
      <c r="R333" s="173">
        <v>4.1000000000000002E-2</v>
      </c>
    </row>
    <row r="334" spans="11:18" x14ac:dyDescent="0.25">
      <c r="K334" s="172">
        <v>326</v>
      </c>
      <c r="L334" s="173">
        <v>0.75</v>
      </c>
      <c r="Q334" s="172">
        <v>81.5</v>
      </c>
      <c r="R334" s="173">
        <v>4.2000000000000003E-2</v>
      </c>
    </row>
    <row r="335" spans="11:18" x14ac:dyDescent="0.25">
      <c r="K335" s="172">
        <v>327</v>
      </c>
      <c r="L335" s="173">
        <v>0.74</v>
      </c>
      <c r="Q335" s="172">
        <v>81.75</v>
      </c>
      <c r="R335" s="173">
        <v>4.2999999999999997E-2</v>
      </c>
    </row>
    <row r="336" spans="11:18" x14ac:dyDescent="0.25">
      <c r="K336" s="172">
        <v>328</v>
      </c>
      <c r="L336" s="173">
        <v>0.73</v>
      </c>
      <c r="Q336" s="172">
        <v>82</v>
      </c>
      <c r="R336" s="173">
        <v>4.2000000000000003E-2</v>
      </c>
    </row>
    <row r="337" spans="11:18" x14ac:dyDescent="0.25">
      <c r="K337" s="172">
        <v>329</v>
      </c>
      <c r="L337" s="173">
        <v>0.73</v>
      </c>
      <c r="Q337" s="172">
        <v>82.25</v>
      </c>
      <c r="R337" s="173">
        <v>4.1000000000000002E-2</v>
      </c>
    </row>
    <row r="338" spans="11:18" x14ac:dyDescent="0.25">
      <c r="K338" s="172">
        <v>330</v>
      </c>
      <c r="L338" s="173">
        <v>0.72</v>
      </c>
      <c r="Q338" s="172">
        <v>82.5</v>
      </c>
      <c r="R338" s="173">
        <v>4.2000000000000003E-2</v>
      </c>
    </row>
    <row r="339" spans="11:18" x14ac:dyDescent="0.25">
      <c r="K339" s="172">
        <v>331</v>
      </c>
      <c r="L339" s="173">
        <v>0.72</v>
      </c>
      <c r="Q339" s="172">
        <v>82.75</v>
      </c>
      <c r="R339" s="173">
        <v>4.4999999999999998E-2</v>
      </c>
    </row>
    <row r="340" spans="11:18" x14ac:dyDescent="0.25">
      <c r="K340" s="172">
        <v>332</v>
      </c>
      <c r="L340" s="173">
        <v>0.71</v>
      </c>
      <c r="Q340" s="172">
        <v>83</v>
      </c>
      <c r="R340" s="173">
        <v>4.3999999999999997E-2</v>
      </c>
    </row>
    <row r="341" spans="11:18" x14ac:dyDescent="0.25">
      <c r="K341" s="172">
        <v>333</v>
      </c>
      <c r="L341" s="173">
        <v>0.71</v>
      </c>
      <c r="Q341" s="172">
        <v>83.25</v>
      </c>
      <c r="R341" s="173">
        <v>4.3999999999999997E-2</v>
      </c>
    </row>
    <row r="342" spans="11:18" x14ac:dyDescent="0.25">
      <c r="K342" s="172">
        <v>334</v>
      </c>
      <c r="L342" s="173">
        <v>0.7</v>
      </c>
      <c r="Q342" s="172">
        <v>83.5</v>
      </c>
      <c r="R342" s="173">
        <v>4.4999999999999998E-2</v>
      </c>
    </row>
    <row r="343" spans="11:18" x14ac:dyDescent="0.25">
      <c r="K343" s="172">
        <v>335</v>
      </c>
      <c r="L343" s="173">
        <v>0.7</v>
      </c>
      <c r="Q343" s="172">
        <v>83.75</v>
      </c>
      <c r="R343" s="173">
        <v>4.5999999999999999E-2</v>
      </c>
    </row>
    <row r="344" spans="11:18" x14ac:dyDescent="0.25">
      <c r="K344" s="172">
        <v>336</v>
      </c>
      <c r="L344" s="173">
        <v>0.69</v>
      </c>
      <c r="Q344" s="172">
        <v>84</v>
      </c>
      <c r="R344" s="173">
        <v>4.5999999999999999E-2</v>
      </c>
    </row>
    <row r="345" spans="11:18" x14ac:dyDescent="0.25">
      <c r="K345" s="172">
        <v>337</v>
      </c>
      <c r="L345" s="173">
        <v>0.68</v>
      </c>
      <c r="Q345" s="172">
        <v>84.25</v>
      </c>
      <c r="R345" s="173">
        <v>4.5999999999999999E-2</v>
      </c>
    </row>
    <row r="346" spans="11:18" x14ac:dyDescent="0.25">
      <c r="K346" s="172">
        <v>338</v>
      </c>
      <c r="L346" s="173">
        <v>0.68</v>
      </c>
      <c r="Q346" s="172">
        <v>84.5</v>
      </c>
      <c r="R346" s="173">
        <v>4.7E-2</v>
      </c>
    </row>
    <row r="347" spans="11:18" x14ac:dyDescent="0.25">
      <c r="K347" s="172">
        <v>339</v>
      </c>
      <c r="L347" s="173">
        <v>0.68</v>
      </c>
      <c r="Q347" s="172">
        <v>84.75</v>
      </c>
      <c r="R347" s="173">
        <v>4.7E-2</v>
      </c>
    </row>
    <row r="348" spans="11:18" x14ac:dyDescent="0.25">
      <c r="K348" s="172">
        <v>340</v>
      </c>
      <c r="L348" s="173">
        <v>0.67</v>
      </c>
      <c r="Q348" s="172">
        <v>85</v>
      </c>
      <c r="R348" s="173">
        <v>4.7E-2</v>
      </c>
    </row>
    <row r="349" spans="11:18" x14ac:dyDescent="0.25">
      <c r="K349" s="172">
        <v>341</v>
      </c>
      <c r="L349" s="173">
        <v>0.67</v>
      </c>
      <c r="Q349" s="172">
        <v>85.25</v>
      </c>
      <c r="R349" s="173">
        <v>4.7E-2</v>
      </c>
    </row>
    <row r="350" spans="11:18" x14ac:dyDescent="0.25">
      <c r="K350" s="172">
        <v>342</v>
      </c>
      <c r="L350" s="173">
        <v>0.66</v>
      </c>
      <c r="Q350" s="172">
        <v>85.5</v>
      </c>
      <c r="R350" s="173">
        <v>4.7E-2</v>
      </c>
    </row>
    <row r="351" spans="11:18" x14ac:dyDescent="0.25">
      <c r="K351" s="172">
        <v>343</v>
      </c>
      <c r="L351" s="173">
        <v>0.66</v>
      </c>
      <c r="Q351" s="172">
        <v>85.75</v>
      </c>
      <c r="R351" s="173">
        <v>4.7E-2</v>
      </c>
    </row>
    <row r="352" spans="11:18" x14ac:dyDescent="0.25">
      <c r="K352" s="172">
        <v>344</v>
      </c>
      <c r="L352" s="173">
        <v>0.65</v>
      </c>
      <c r="Q352" s="172">
        <v>86</v>
      </c>
      <c r="R352" s="173">
        <v>4.7E-2</v>
      </c>
    </row>
    <row r="353" spans="11:18" x14ac:dyDescent="0.25">
      <c r="K353" s="172">
        <v>345</v>
      </c>
      <c r="L353" s="173">
        <v>0.65</v>
      </c>
      <c r="Q353" s="172">
        <v>86.25</v>
      </c>
      <c r="R353" s="173">
        <v>4.7E-2</v>
      </c>
    </row>
    <row r="354" spans="11:18" x14ac:dyDescent="0.25">
      <c r="K354" s="172">
        <v>346</v>
      </c>
      <c r="L354" s="173">
        <v>0.64</v>
      </c>
      <c r="Q354" s="172">
        <v>86.5</v>
      </c>
      <c r="R354" s="173">
        <v>4.7E-2</v>
      </c>
    </row>
    <row r="355" spans="11:18" x14ac:dyDescent="0.25">
      <c r="K355" s="172">
        <v>347</v>
      </c>
      <c r="L355" s="173">
        <v>0.64</v>
      </c>
      <c r="Q355" s="172">
        <v>86.75</v>
      </c>
      <c r="R355" s="173">
        <v>4.7E-2</v>
      </c>
    </row>
    <row r="356" spans="11:18" x14ac:dyDescent="0.25">
      <c r="K356" s="172">
        <v>348</v>
      </c>
      <c r="L356" s="173">
        <v>0.63</v>
      </c>
      <c r="Q356" s="172">
        <v>87</v>
      </c>
      <c r="R356" s="173">
        <v>4.7E-2</v>
      </c>
    </row>
    <row r="357" spans="11:18" x14ac:dyDescent="0.25">
      <c r="K357" s="172">
        <v>349</v>
      </c>
      <c r="L357" s="173">
        <v>0.63</v>
      </c>
      <c r="Q357" s="172">
        <v>87.25</v>
      </c>
      <c r="R357" s="173">
        <v>4.7E-2</v>
      </c>
    </row>
    <row r="358" spans="11:18" x14ac:dyDescent="0.25">
      <c r="K358" s="172">
        <v>350</v>
      </c>
      <c r="L358" s="173">
        <v>0.63</v>
      </c>
      <c r="Q358" s="172">
        <v>87.5</v>
      </c>
      <c r="R358" s="173">
        <v>4.7E-2</v>
      </c>
    </row>
    <row r="359" spans="11:18" x14ac:dyDescent="0.25">
      <c r="K359" s="172">
        <v>351</v>
      </c>
      <c r="L359" s="173">
        <v>0.62</v>
      </c>
      <c r="Q359" s="172">
        <v>87.75</v>
      </c>
      <c r="R359" s="173">
        <v>4.7E-2</v>
      </c>
    </row>
    <row r="360" spans="11:18" x14ac:dyDescent="0.25">
      <c r="K360" s="172">
        <v>352</v>
      </c>
      <c r="L360" s="173">
        <v>0.62</v>
      </c>
      <c r="Q360" s="172">
        <v>88</v>
      </c>
      <c r="R360" s="173">
        <v>4.7E-2</v>
      </c>
    </row>
    <row r="361" spans="11:18" x14ac:dyDescent="0.25">
      <c r="K361" s="172">
        <v>353</v>
      </c>
      <c r="L361" s="173">
        <v>0.61</v>
      </c>
      <c r="Q361" s="172">
        <v>88.25</v>
      </c>
      <c r="R361" s="173">
        <v>4.7E-2</v>
      </c>
    </row>
    <row r="362" spans="11:18" x14ac:dyDescent="0.25">
      <c r="K362" s="172">
        <v>354</v>
      </c>
      <c r="L362" s="173">
        <v>0.61</v>
      </c>
      <c r="Q362" s="172">
        <v>88.5</v>
      </c>
      <c r="R362" s="173">
        <v>4.7E-2</v>
      </c>
    </row>
    <row r="363" spans="11:18" x14ac:dyDescent="0.25">
      <c r="K363" s="172">
        <v>355</v>
      </c>
      <c r="L363" s="173">
        <v>0.61</v>
      </c>
      <c r="Q363" s="172">
        <v>88.75</v>
      </c>
      <c r="R363" s="173">
        <v>4.7E-2</v>
      </c>
    </row>
    <row r="364" spans="11:18" x14ac:dyDescent="0.25">
      <c r="K364" s="172">
        <v>356</v>
      </c>
      <c r="L364" s="173">
        <v>0.6</v>
      </c>
      <c r="Q364" s="172">
        <v>89</v>
      </c>
      <c r="R364" s="173">
        <v>4.7E-2</v>
      </c>
    </row>
    <row r="365" spans="11:18" x14ac:dyDescent="0.25">
      <c r="K365" s="172">
        <v>357</v>
      </c>
      <c r="L365" s="173">
        <v>0.6</v>
      </c>
      <c r="Q365" s="172">
        <v>89.25</v>
      </c>
      <c r="R365" s="173">
        <v>4.7E-2</v>
      </c>
    </row>
    <row r="366" spans="11:18" x14ac:dyDescent="0.25">
      <c r="K366" s="172">
        <v>358</v>
      </c>
      <c r="L366" s="173">
        <v>0.6</v>
      </c>
      <c r="Q366" s="172">
        <v>89.5</v>
      </c>
      <c r="R366" s="173">
        <v>4.7E-2</v>
      </c>
    </row>
    <row r="367" spans="11:18" x14ac:dyDescent="0.25">
      <c r="K367" s="172">
        <v>359</v>
      </c>
      <c r="L367" s="173">
        <v>0.59</v>
      </c>
      <c r="Q367" s="172">
        <v>89.75</v>
      </c>
      <c r="R367" s="173">
        <v>4.7E-2</v>
      </c>
    </row>
    <row r="368" spans="11:18" x14ac:dyDescent="0.25">
      <c r="K368" s="172">
        <v>360</v>
      </c>
      <c r="L368" s="173">
        <v>0.59</v>
      </c>
      <c r="Q368" s="172">
        <v>90</v>
      </c>
      <c r="R368" s="173">
        <v>4.7E-2</v>
      </c>
    </row>
    <row r="369" spans="11:18" x14ac:dyDescent="0.25">
      <c r="K369" s="172">
        <v>361</v>
      </c>
      <c r="L369" s="173">
        <v>0.59</v>
      </c>
      <c r="Q369" s="172">
        <v>90.25</v>
      </c>
      <c r="R369" s="173">
        <v>4.7E-2</v>
      </c>
    </row>
    <row r="370" spans="11:18" x14ac:dyDescent="0.25">
      <c r="K370" s="172">
        <v>362</v>
      </c>
      <c r="L370" s="173">
        <v>0.57999999999999996</v>
      </c>
      <c r="Q370" s="172">
        <v>90.5</v>
      </c>
      <c r="R370" s="173">
        <v>4.7E-2</v>
      </c>
    </row>
    <row r="371" spans="11:18" x14ac:dyDescent="0.25">
      <c r="K371" s="172">
        <v>363</v>
      </c>
      <c r="L371" s="173">
        <v>0.57999999999999996</v>
      </c>
      <c r="Q371" s="172">
        <v>90.75</v>
      </c>
      <c r="R371" s="173">
        <v>4.7E-2</v>
      </c>
    </row>
    <row r="372" spans="11:18" x14ac:dyDescent="0.25">
      <c r="K372" s="172">
        <v>364</v>
      </c>
      <c r="L372" s="173">
        <v>0.57999999999999996</v>
      </c>
      <c r="Q372" s="172">
        <v>91</v>
      </c>
      <c r="R372" s="173">
        <v>4.7E-2</v>
      </c>
    </row>
    <row r="373" spans="11:18" x14ac:dyDescent="0.25">
      <c r="K373" s="172">
        <v>365</v>
      </c>
      <c r="L373" s="173">
        <v>0.56999999999999995</v>
      </c>
      <c r="Q373" s="172">
        <v>91.25</v>
      </c>
      <c r="R373" s="173">
        <v>4.7E-2</v>
      </c>
    </row>
    <row r="374" spans="11:18" x14ac:dyDescent="0.25">
      <c r="K374" s="172">
        <v>366</v>
      </c>
      <c r="L374" s="173">
        <v>0.56999999999999995</v>
      </c>
      <c r="Q374" s="172">
        <v>91.5</v>
      </c>
      <c r="R374" s="173">
        <v>4.7E-2</v>
      </c>
    </row>
    <row r="375" spans="11:18" x14ac:dyDescent="0.25">
      <c r="K375" s="172">
        <v>367</v>
      </c>
      <c r="L375" s="173">
        <v>0.56999999999999995</v>
      </c>
      <c r="Q375" s="172">
        <v>91.75</v>
      </c>
      <c r="R375" s="173">
        <v>4.7E-2</v>
      </c>
    </row>
    <row r="376" spans="11:18" x14ac:dyDescent="0.25">
      <c r="K376" s="172">
        <v>368</v>
      </c>
      <c r="L376" s="173">
        <v>0.56000000000000005</v>
      </c>
      <c r="Q376" s="172">
        <v>92</v>
      </c>
      <c r="R376" s="173">
        <v>4.7E-2</v>
      </c>
    </row>
    <row r="377" spans="11:18" x14ac:dyDescent="0.25">
      <c r="K377" s="172">
        <v>369</v>
      </c>
      <c r="L377" s="173">
        <v>0.56000000000000005</v>
      </c>
      <c r="Q377" s="172">
        <v>92.25</v>
      </c>
      <c r="R377" s="173">
        <v>4.7E-2</v>
      </c>
    </row>
    <row r="378" spans="11:18" x14ac:dyDescent="0.25">
      <c r="K378" s="172">
        <v>370</v>
      </c>
      <c r="L378" s="173">
        <v>0.56000000000000005</v>
      </c>
      <c r="Q378" s="172">
        <v>92.5</v>
      </c>
      <c r="R378" s="173">
        <v>4.7E-2</v>
      </c>
    </row>
    <row r="379" spans="11:18" x14ac:dyDescent="0.25">
      <c r="K379" s="172">
        <v>371</v>
      </c>
      <c r="L379" s="173">
        <v>0.56000000000000005</v>
      </c>
      <c r="Q379" s="172">
        <v>92.75</v>
      </c>
      <c r="R379" s="173">
        <v>4.7E-2</v>
      </c>
    </row>
    <row r="380" spans="11:18" x14ac:dyDescent="0.25">
      <c r="K380" s="172">
        <v>372</v>
      </c>
      <c r="L380" s="173">
        <v>0.55000000000000004</v>
      </c>
      <c r="Q380" s="172">
        <v>93</v>
      </c>
      <c r="R380" s="173">
        <v>4.7E-2</v>
      </c>
    </row>
    <row r="381" spans="11:18" x14ac:dyDescent="0.25">
      <c r="K381" s="172">
        <v>373</v>
      </c>
      <c r="L381" s="173">
        <v>0.55000000000000004</v>
      </c>
      <c r="Q381" s="172">
        <v>93.25</v>
      </c>
      <c r="R381" s="173">
        <v>4.7E-2</v>
      </c>
    </row>
    <row r="382" spans="11:18" x14ac:dyDescent="0.25">
      <c r="K382" s="172">
        <v>374</v>
      </c>
      <c r="L382" s="173">
        <v>0.55000000000000004</v>
      </c>
      <c r="Q382" s="172">
        <v>93.5</v>
      </c>
      <c r="R382" s="173">
        <v>4.7E-2</v>
      </c>
    </row>
    <row r="383" spans="11:18" x14ac:dyDescent="0.25">
      <c r="K383" s="172">
        <v>375</v>
      </c>
      <c r="L383" s="173">
        <v>0.54</v>
      </c>
      <c r="Q383" s="172">
        <v>93.75</v>
      </c>
      <c r="R383" s="173">
        <v>4.7E-2</v>
      </c>
    </row>
    <row r="384" spans="11:18" x14ac:dyDescent="0.25">
      <c r="K384" s="172">
        <v>376</v>
      </c>
      <c r="L384" s="173">
        <v>0.54</v>
      </c>
      <c r="Q384" s="172">
        <v>94</v>
      </c>
      <c r="R384" s="173">
        <v>4.7E-2</v>
      </c>
    </row>
    <row r="385" spans="11:18" x14ac:dyDescent="0.25">
      <c r="K385" s="172">
        <v>377</v>
      </c>
      <c r="L385" s="173">
        <v>0.54</v>
      </c>
      <c r="Q385" s="172">
        <v>94.25</v>
      </c>
      <c r="R385" s="173">
        <v>4.7E-2</v>
      </c>
    </row>
    <row r="386" spans="11:18" x14ac:dyDescent="0.25">
      <c r="K386" s="172">
        <v>378</v>
      </c>
      <c r="L386" s="173">
        <v>0.54</v>
      </c>
      <c r="Q386" s="172">
        <v>94.5</v>
      </c>
      <c r="R386" s="173">
        <v>4.7E-2</v>
      </c>
    </row>
    <row r="387" spans="11:18" x14ac:dyDescent="0.25">
      <c r="K387" s="172">
        <v>379</v>
      </c>
      <c r="L387" s="173">
        <v>0.53</v>
      </c>
      <c r="Q387" s="172">
        <v>94.75</v>
      </c>
      <c r="R387" s="173">
        <v>4.7E-2</v>
      </c>
    </row>
    <row r="388" spans="11:18" x14ac:dyDescent="0.25">
      <c r="K388" s="172">
        <v>380</v>
      </c>
      <c r="L388" s="173">
        <v>0.53</v>
      </c>
      <c r="Q388" s="172">
        <v>95</v>
      </c>
      <c r="R388" s="173">
        <v>4.7E-2</v>
      </c>
    </row>
    <row r="389" spans="11:18" x14ac:dyDescent="0.25">
      <c r="K389" s="172">
        <v>381</v>
      </c>
      <c r="L389" s="173">
        <v>0.53</v>
      </c>
      <c r="Q389" s="172">
        <v>95.25</v>
      </c>
      <c r="R389" s="173">
        <v>4.7E-2</v>
      </c>
    </row>
    <row r="390" spans="11:18" x14ac:dyDescent="0.25">
      <c r="K390" s="172">
        <v>382</v>
      </c>
      <c r="L390" s="173">
        <v>0.53</v>
      </c>
      <c r="Q390" s="172">
        <v>95.5</v>
      </c>
      <c r="R390" s="173">
        <v>4.5999999999999999E-2</v>
      </c>
    </row>
    <row r="391" spans="11:18" x14ac:dyDescent="0.25">
      <c r="K391" s="172">
        <v>383</v>
      </c>
      <c r="L391" s="173">
        <v>0.52</v>
      </c>
      <c r="Q391" s="172">
        <v>95.75</v>
      </c>
      <c r="R391" s="173">
        <v>4.5999999999999999E-2</v>
      </c>
    </row>
    <row r="392" spans="11:18" x14ac:dyDescent="0.25">
      <c r="K392" s="172">
        <v>384</v>
      </c>
      <c r="L392" s="173">
        <v>0.52</v>
      </c>
      <c r="Q392" s="172">
        <v>96</v>
      </c>
      <c r="R392" s="173">
        <v>4.5999999999999999E-2</v>
      </c>
    </row>
    <row r="393" spans="11:18" x14ac:dyDescent="0.25">
      <c r="K393" s="172">
        <v>385</v>
      </c>
      <c r="L393" s="173">
        <v>0.52</v>
      </c>
      <c r="Q393" s="172">
        <v>96.25</v>
      </c>
      <c r="R393" s="173">
        <v>4.5999999999999999E-2</v>
      </c>
    </row>
    <row r="394" spans="11:18" x14ac:dyDescent="0.25">
      <c r="K394" s="172">
        <v>386</v>
      </c>
      <c r="L394" s="173">
        <v>0.52</v>
      </c>
      <c r="Q394" s="172">
        <v>96.5</v>
      </c>
      <c r="R394" s="173">
        <v>4.5999999999999999E-2</v>
      </c>
    </row>
    <row r="395" spans="11:18" x14ac:dyDescent="0.25">
      <c r="K395" s="172">
        <v>387</v>
      </c>
      <c r="L395" s="173">
        <v>0.52</v>
      </c>
      <c r="Q395" s="172">
        <v>96.75</v>
      </c>
      <c r="R395" s="173">
        <v>4.5999999999999999E-2</v>
      </c>
    </row>
    <row r="396" spans="11:18" x14ac:dyDescent="0.25">
      <c r="K396" s="172">
        <v>388</v>
      </c>
      <c r="L396" s="173">
        <v>0.51</v>
      </c>
      <c r="Q396" s="172">
        <v>97</v>
      </c>
      <c r="R396" s="173">
        <v>4.5999999999999999E-2</v>
      </c>
    </row>
    <row r="397" spans="11:18" x14ac:dyDescent="0.25">
      <c r="K397" s="172">
        <v>389</v>
      </c>
      <c r="L397" s="173">
        <v>0.51</v>
      </c>
      <c r="Q397" s="172">
        <v>97.25</v>
      </c>
      <c r="R397" s="173">
        <v>4.5999999999999999E-2</v>
      </c>
    </row>
    <row r="398" spans="11:18" x14ac:dyDescent="0.25">
      <c r="K398" s="172">
        <v>390</v>
      </c>
      <c r="L398" s="173">
        <v>0.51</v>
      </c>
      <c r="Q398" s="172">
        <v>97.5</v>
      </c>
      <c r="R398" s="173">
        <v>4.5999999999999999E-2</v>
      </c>
    </row>
    <row r="399" spans="11:18" x14ac:dyDescent="0.25">
      <c r="K399" s="172">
        <v>391</v>
      </c>
      <c r="L399" s="173">
        <v>0.51</v>
      </c>
      <c r="Q399" s="172">
        <v>97.75</v>
      </c>
      <c r="R399" s="173">
        <v>4.5999999999999999E-2</v>
      </c>
    </row>
    <row r="400" spans="11:18" x14ac:dyDescent="0.25">
      <c r="K400" s="172">
        <v>392</v>
      </c>
      <c r="L400" s="173">
        <v>0.51</v>
      </c>
      <c r="Q400" s="172">
        <v>98</v>
      </c>
      <c r="R400" s="173">
        <v>4.5999999999999999E-2</v>
      </c>
    </row>
    <row r="401" spans="11:18" x14ac:dyDescent="0.25">
      <c r="K401" s="172">
        <v>393</v>
      </c>
      <c r="L401" s="173">
        <v>0.5</v>
      </c>
      <c r="Q401" s="172">
        <v>98.25</v>
      </c>
      <c r="R401" s="173">
        <v>4.5999999999999999E-2</v>
      </c>
    </row>
    <row r="402" spans="11:18" x14ac:dyDescent="0.25">
      <c r="K402" s="172">
        <v>394</v>
      </c>
      <c r="L402" s="173">
        <v>0.5</v>
      </c>
      <c r="Q402" s="172">
        <v>98.5</v>
      </c>
      <c r="R402" s="173">
        <v>4.5999999999999999E-2</v>
      </c>
    </row>
    <row r="403" spans="11:18" x14ac:dyDescent="0.25">
      <c r="K403" s="172">
        <v>395</v>
      </c>
      <c r="L403" s="173">
        <v>0.5</v>
      </c>
      <c r="Q403" s="172">
        <v>98.75</v>
      </c>
      <c r="R403" s="173">
        <v>4.5999999999999999E-2</v>
      </c>
    </row>
    <row r="404" spans="11:18" x14ac:dyDescent="0.25">
      <c r="K404" s="172">
        <v>396</v>
      </c>
      <c r="L404" s="173">
        <v>0.5</v>
      </c>
      <c r="Q404" s="172">
        <v>99</v>
      </c>
      <c r="R404" s="173">
        <v>4.5999999999999999E-2</v>
      </c>
    </row>
    <row r="405" spans="11:18" x14ac:dyDescent="0.25">
      <c r="K405" s="172">
        <v>397</v>
      </c>
      <c r="L405" s="173">
        <v>0.5</v>
      </c>
      <c r="Q405" s="172">
        <v>99.25</v>
      </c>
      <c r="R405" s="173">
        <v>4.5999999999999999E-2</v>
      </c>
    </row>
    <row r="406" spans="11:18" x14ac:dyDescent="0.25">
      <c r="K406" s="172">
        <v>398</v>
      </c>
      <c r="L406" s="173">
        <v>0.49</v>
      </c>
      <c r="Q406" s="172">
        <v>99.5</v>
      </c>
      <c r="R406" s="173">
        <v>4.5999999999999999E-2</v>
      </c>
    </row>
    <row r="407" spans="11:18" x14ac:dyDescent="0.25">
      <c r="K407" s="172">
        <v>399</v>
      </c>
      <c r="L407" s="173">
        <v>0.49</v>
      </c>
      <c r="Q407" s="172">
        <v>99.75</v>
      </c>
      <c r="R407" s="173">
        <v>4.5999999999999999E-2</v>
      </c>
    </row>
    <row r="408" spans="11:18" x14ac:dyDescent="0.25">
      <c r="K408" s="172">
        <v>400</v>
      </c>
      <c r="L408" s="173">
        <v>0.49</v>
      </c>
      <c r="Q408" s="172">
        <v>100</v>
      </c>
      <c r="R408" s="173">
        <v>4.5999999999999999E-2</v>
      </c>
    </row>
    <row r="409" spans="11:18" x14ac:dyDescent="0.25">
      <c r="K409" s="172">
        <v>401</v>
      </c>
      <c r="L409" s="173">
        <v>0.49</v>
      </c>
      <c r="Q409" s="172">
        <v>100.25</v>
      </c>
      <c r="R409" s="173">
        <v>4.7E-2</v>
      </c>
    </row>
    <row r="410" spans="11:18" x14ac:dyDescent="0.25">
      <c r="K410" s="172">
        <v>402</v>
      </c>
      <c r="L410" s="173">
        <v>0.49</v>
      </c>
      <c r="Q410" s="172">
        <v>100.5</v>
      </c>
      <c r="R410" s="173">
        <v>4.5999999999999999E-2</v>
      </c>
    </row>
    <row r="411" spans="11:18" x14ac:dyDescent="0.25">
      <c r="K411" s="172">
        <v>403</v>
      </c>
      <c r="L411" s="173">
        <v>0.49</v>
      </c>
      <c r="Q411" s="172">
        <v>100.75</v>
      </c>
      <c r="R411" s="173">
        <v>4.4999999999999998E-2</v>
      </c>
    </row>
    <row r="412" spans="11:18" x14ac:dyDescent="0.25">
      <c r="K412" s="172">
        <v>404</v>
      </c>
      <c r="L412" s="173">
        <v>0.48</v>
      </c>
      <c r="Q412" s="172">
        <v>101</v>
      </c>
      <c r="R412" s="173">
        <v>4.4999999999999998E-2</v>
      </c>
    </row>
    <row r="413" spans="11:18" x14ac:dyDescent="0.25">
      <c r="K413" s="172">
        <v>405</v>
      </c>
      <c r="L413" s="173">
        <v>0.48</v>
      </c>
      <c r="Q413" s="172">
        <v>101.25</v>
      </c>
      <c r="R413" s="173">
        <v>4.4999999999999998E-2</v>
      </c>
    </row>
    <row r="414" spans="11:18" x14ac:dyDescent="0.25">
      <c r="K414" s="172">
        <v>406</v>
      </c>
      <c r="L414" s="173">
        <v>0.48</v>
      </c>
      <c r="Q414" s="172">
        <v>101.5</v>
      </c>
      <c r="R414" s="173">
        <v>4.4999999999999998E-2</v>
      </c>
    </row>
    <row r="415" spans="11:18" x14ac:dyDescent="0.25">
      <c r="K415" s="172">
        <v>407</v>
      </c>
      <c r="L415" s="173">
        <v>0.48</v>
      </c>
      <c r="Q415" s="172">
        <v>101.75</v>
      </c>
      <c r="R415" s="173">
        <v>4.3999999999999997E-2</v>
      </c>
    </row>
    <row r="416" spans="11:18" x14ac:dyDescent="0.25">
      <c r="K416" s="172">
        <v>408</v>
      </c>
      <c r="L416" s="173">
        <v>0.48</v>
      </c>
      <c r="Q416" s="172">
        <v>102</v>
      </c>
      <c r="R416" s="173">
        <v>4.3999999999999997E-2</v>
      </c>
    </row>
    <row r="417" spans="11:18" x14ac:dyDescent="0.25">
      <c r="K417" s="172">
        <v>409</v>
      </c>
      <c r="L417" s="173">
        <v>0.48</v>
      </c>
      <c r="Q417" s="172">
        <v>102.25</v>
      </c>
      <c r="R417" s="173">
        <v>4.2999999999999997E-2</v>
      </c>
    </row>
    <row r="418" spans="11:18" x14ac:dyDescent="0.25">
      <c r="K418" s="172">
        <v>410</v>
      </c>
      <c r="L418" s="173">
        <v>0.47</v>
      </c>
      <c r="Q418" s="172">
        <v>102.5</v>
      </c>
      <c r="R418" s="173">
        <v>4.2999999999999997E-2</v>
      </c>
    </row>
    <row r="419" spans="11:18" x14ac:dyDescent="0.25">
      <c r="K419" s="172">
        <v>411</v>
      </c>
      <c r="L419" s="173">
        <v>0.47</v>
      </c>
      <c r="Q419" s="172">
        <v>102.75</v>
      </c>
      <c r="R419" s="173">
        <v>4.3999999999999997E-2</v>
      </c>
    </row>
    <row r="420" spans="11:18" x14ac:dyDescent="0.25">
      <c r="K420" s="172">
        <v>412</v>
      </c>
      <c r="L420" s="173">
        <v>0.47</v>
      </c>
      <c r="Q420" s="172">
        <v>103</v>
      </c>
      <c r="R420" s="173">
        <v>4.2000000000000003E-2</v>
      </c>
    </row>
    <row r="421" spans="11:18" x14ac:dyDescent="0.25">
      <c r="K421" s="172">
        <v>413</v>
      </c>
      <c r="L421" s="173">
        <v>0.47</v>
      </c>
      <c r="Q421" s="172">
        <v>103.25</v>
      </c>
      <c r="R421" s="173">
        <v>4.5999999999999999E-2</v>
      </c>
    </row>
    <row r="422" spans="11:18" x14ac:dyDescent="0.25">
      <c r="K422" s="172">
        <v>414</v>
      </c>
      <c r="L422" s="173">
        <v>0.47</v>
      </c>
      <c r="Q422" s="172">
        <v>103.5</v>
      </c>
      <c r="R422" s="173">
        <v>4.3999999999999997E-2</v>
      </c>
    </row>
    <row r="423" spans="11:18" x14ac:dyDescent="0.25">
      <c r="K423" s="172">
        <v>415</v>
      </c>
      <c r="L423" s="173">
        <v>0.47</v>
      </c>
      <c r="Q423" s="172">
        <v>103.75</v>
      </c>
      <c r="R423" s="173">
        <v>4.2000000000000003E-2</v>
      </c>
    </row>
    <row r="424" spans="11:18" x14ac:dyDescent="0.25">
      <c r="K424" s="172">
        <v>416</v>
      </c>
      <c r="L424" s="173">
        <v>0.47</v>
      </c>
      <c r="Q424" s="172">
        <v>104</v>
      </c>
      <c r="R424" s="173">
        <v>4.1000000000000002E-2</v>
      </c>
    </row>
    <row r="425" spans="11:18" x14ac:dyDescent="0.25">
      <c r="K425" s="172">
        <v>417</v>
      </c>
      <c r="L425" s="173">
        <v>0.46</v>
      </c>
      <c r="Q425" s="172">
        <v>104.25</v>
      </c>
      <c r="R425" s="173">
        <v>0.04</v>
      </c>
    </row>
    <row r="426" spans="11:18" x14ac:dyDescent="0.25">
      <c r="K426" s="172">
        <v>418</v>
      </c>
      <c r="L426" s="173">
        <v>0.46</v>
      </c>
      <c r="Q426" s="172">
        <v>104.5</v>
      </c>
      <c r="R426" s="173">
        <v>0.04</v>
      </c>
    </row>
    <row r="427" spans="11:18" x14ac:dyDescent="0.25">
      <c r="K427" s="172">
        <v>419</v>
      </c>
      <c r="L427" s="173">
        <v>0.46</v>
      </c>
      <c r="Q427" s="172">
        <v>104.75</v>
      </c>
      <c r="R427" s="173">
        <v>0.04</v>
      </c>
    </row>
    <row r="428" spans="11:18" x14ac:dyDescent="0.25">
      <c r="K428" s="172">
        <v>420</v>
      </c>
      <c r="L428" s="173">
        <v>0.46</v>
      </c>
      <c r="Q428" s="172">
        <v>105</v>
      </c>
      <c r="R428" s="173">
        <v>0.04</v>
      </c>
    </row>
    <row r="429" spans="11:18" x14ac:dyDescent="0.25">
      <c r="K429" s="172">
        <v>421</v>
      </c>
      <c r="L429" s="173">
        <v>0.46</v>
      </c>
      <c r="Q429" s="172">
        <v>105.25</v>
      </c>
      <c r="R429" s="173">
        <v>4.2000000000000003E-2</v>
      </c>
    </row>
    <row r="430" spans="11:18" x14ac:dyDescent="0.25">
      <c r="K430" s="172">
        <v>422</v>
      </c>
      <c r="L430" s="173">
        <v>0.46</v>
      </c>
      <c r="Q430" s="172">
        <v>105.5</v>
      </c>
      <c r="R430" s="173">
        <v>4.3999999999999997E-2</v>
      </c>
    </row>
    <row r="431" spans="11:18" x14ac:dyDescent="0.25">
      <c r="K431" s="172">
        <v>423</v>
      </c>
      <c r="L431" s="173">
        <v>0.46</v>
      </c>
      <c r="Q431" s="172">
        <v>105.75</v>
      </c>
      <c r="R431" s="173">
        <v>4.2999999999999997E-2</v>
      </c>
    </row>
    <row r="432" spans="11:18" x14ac:dyDescent="0.25">
      <c r="K432" s="172">
        <v>424</v>
      </c>
      <c r="L432" s="173">
        <v>0.46</v>
      </c>
      <c r="Q432" s="172">
        <v>106</v>
      </c>
      <c r="R432" s="173">
        <v>4.2999999999999997E-2</v>
      </c>
    </row>
    <row r="433" spans="11:18" x14ac:dyDescent="0.25">
      <c r="K433" s="172">
        <v>425</v>
      </c>
      <c r="L433" s="173">
        <v>0.45</v>
      </c>
      <c r="Q433" s="172">
        <v>106.25</v>
      </c>
      <c r="R433" s="173">
        <v>4.4999999999999998E-2</v>
      </c>
    </row>
    <row r="434" spans="11:18" x14ac:dyDescent="0.25">
      <c r="K434" s="172">
        <v>426</v>
      </c>
      <c r="L434" s="173">
        <v>0.45</v>
      </c>
      <c r="Q434" s="172">
        <v>106.5</v>
      </c>
      <c r="R434" s="173">
        <v>4.5999999999999999E-2</v>
      </c>
    </row>
    <row r="435" spans="11:18" x14ac:dyDescent="0.25">
      <c r="K435" s="172">
        <v>427</v>
      </c>
      <c r="L435" s="173">
        <v>0.45</v>
      </c>
      <c r="Q435" s="172">
        <v>106.75</v>
      </c>
      <c r="R435" s="173">
        <v>4.7E-2</v>
      </c>
    </row>
    <row r="436" spans="11:18" x14ac:dyDescent="0.25">
      <c r="K436" s="172">
        <v>428</v>
      </c>
      <c r="L436" s="173">
        <v>0.45</v>
      </c>
      <c r="Q436" s="172">
        <v>107</v>
      </c>
      <c r="R436" s="173">
        <v>4.8000000000000001E-2</v>
      </c>
    </row>
    <row r="437" spans="11:18" x14ac:dyDescent="0.25">
      <c r="K437" s="172">
        <v>429</v>
      </c>
      <c r="L437" s="173">
        <v>0.45</v>
      </c>
      <c r="Q437" s="172">
        <v>107.25</v>
      </c>
      <c r="R437" s="173">
        <v>4.8000000000000001E-2</v>
      </c>
    </row>
    <row r="438" spans="11:18" x14ac:dyDescent="0.25">
      <c r="K438" s="172">
        <v>430</v>
      </c>
      <c r="L438" s="173">
        <v>0.45</v>
      </c>
      <c r="Q438" s="172">
        <v>107.5</v>
      </c>
      <c r="R438" s="173">
        <v>4.9000000000000002E-2</v>
      </c>
    </row>
    <row r="439" spans="11:18" x14ac:dyDescent="0.25">
      <c r="K439" s="172">
        <v>431</v>
      </c>
      <c r="L439" s="173">
        <v>0.45</v>
      </c>
      <c r="Q439" s="172">
        <v>107.75</v>
      </c>
      <c r="R439" s="173">
        <v>4.9000000000000002E-2</v>
      </c>
    </row>
    <row r="440" spans="11:18" x14ac:dyDescent="0.25">
      <c r="K440" s="172">
        <v>432</v>
      </c>
      <c r="L440" s="173">
        <v>0.45</v>
      </c>
      <c r="Q440" s="172">
        <v>108</v>
      </c>
      <c r="R440" s="173">
        <v>0.05</v>
      </c>
    </row>
    <row r="441" spans="11:18" x14ac:dyDescent="0.25">
      <c r="K441" s="172">
        <v>433</v>
      </c>
      <c r="L441" s="173">
        <v>0.45</v>
      </c>
      <c r="Q441" s="172">
        <v>108.25</v>
      </c>
      <c r="R441" s="173">
        <v>5.0999999999999997E-2</v>
      </c>
    </row>
    <row r="442" spans="11:18" x14ac:dyDescent="0.25">
      <c r="K442" s="172">
        <v>434</v>
      </c>
      <c r="L442" s="173">
        <v>0.44</v>
      </c>
      <c r="Q442" s="172">
        <v>108.5</v>
      </c>
      <c r="R442" s="173">
        <v>5.1999999999999998E-2</v>
      </c>
    </row>
    <row r="443" spans="11:18" x14ac:dyDescent="0.25">
      <c r="K443" s="172">
        <v>435</v>
      </c>
      <c r="L443" s="173">
        <v>0.44</v>
      </c>
      <c r="Q443" s="172">
        <v>108.75</v>
      </c>
      <c r="R443" s="173">
        <v>5.2999999999999999E-2</v>
      </c>
    </row>
    <row r="444" spans="11:18" x14ac:dyDescent="0.25">
      <c r="K444" s="172">
        <v>436</v>
      </c>
      <c r="L444" s="173">
        <v>0.44</v>
      </c>
      <c r="Q444" s="172">
        <v>109</v>
      </c>
      <c r="R444" s="173">
        <v>5.3999999999999999E-2</v>
      </c>
    </row>
    <row r="445" spans="11:18" x14ac:dyDescent="0.25">
      <c r="K445" s="172">
        <v>437</v>
      </c>
      <c r="L445" s="173">
        <v>0.44</v>
      </c>
      <c r="Q445" s="172">
        <v>109.25</v>
      </c>
      <c r="R445" s="173">
        <v>5.6000000000000001E-2</v>
      </c>
    </row>
    <row r="446" spans="11:18" x14ac:dyDescent="0.25">
      <c r="K446" s="172">
        <v>438</v>
      </c>
      <c r="L446" s="173">
        <v>0.44</v>
      </c>
      <c r="Q446" s="172">
        <v>109.5</v>
      </c>
      <c r="R446" s="173">
        <v>5.5E-2</v>
      </c>
    </row>
    <row r="447" spans="11:18" x14ac:dyDescent="0.25">
      <c r="K447" s="172">
        <v>439</v>
      </c>
      <c r="L447" s="173">
        <v>0.44</v>
      </c>
      <c r="Q447" s="172">
        <v>109.75</v>
      </c>
      <c r="R447" s="173">
        <v>5.1999999999999998E-2</v>
      </c>
    </row>
    <row r="448" spans="11:18" x14ac:dyDescent="0.25">
      <c r="K448" s="172">
        <v>440</v>
      </c>
      <c r="L448" s="173">
        <v>0.44</v>
      </c>
      <c r="Q448" s="172">
        <v>110</v>
      </c>
      <c r="R448" s="173">
        <v>5.0999999999999997E-2</v>
      </c>
    </row>
    <row r="449" spans="11:18" x14ac:dyDescent="0.25">
      <c r="K449" s="172">
        <v>441</v>
      </c>
      <c r="L449" s="173">
        <v>0.44</v>
      </c>
      <c r="Q449" s="172">
        <v>110.25</v>
      </c>
      <c r="R449" s="173">
        <v>0.05</v>
      </c>
    </row>
    <row r="450" spans="11:18" x14ac:dyDescent="0.25">
      <c r="K450" s="172">
        <v>442</v>
      </c>
      <c r="L450" s="173">
        <v>0.44</v>
      </c>
      <c r="Q450" s="172">
        <v>110.5</v>
      </c>
      <c r="R450" s="173">
        <v>0.05</v>
      </c>
    </row>
    <row r="451" spans="11:18" x14ac:dyDescent="0.25">
      <c r="K451" s="172">
        <v>443</v>
      </c>
      <c r="L451" s="173">
        <v>0.44</v>
      </c>
      <c r="Q451" s="172">
        <v>110.75</v>
      </c>
      <c r="R451" s="173">
        <v>5.0999999999999997E-2</v>
      </c>
    </row>
    <row r="452" spans="11:18" x14ac:dyDescent="0.25">
      <c r="K452" s="172">
        <v>444</v>
      </c>
      <c r="L452" s="173">
        <v>0.44</v>
      </c>
      <c r="Q452" s="172">
        <v>111</v>
      </c>
      <c r="R452" s="173">
        <v>5.0999999999999997E-2</v>
      </c>
    </row>
    <row r="453" spans="11:18" x14ac:dyDescent="0.25">
      <c r="K453" s="172">
        <v>445</v>
      </c>
      <c r="L453" s="173">
        <v>0.43</v>
      </c>
      <c r="Q453" s="172">
        <v>111.25</v>
      </c>
      <c r="R453" s="173">
        <v>5.2999999999999999E-2</v>
      </c>
    </row>
    <row r="454" spans="11:18" x14ac:dyDescent="0.25">
      <c r="K454" s="172">
        <v>446</v>
      </c>
      <c r="L454" s="173">
        <v>0.43</v>
      </c>
      <c r="Q454" s="172">
        <v>111.5</v>
      </c>
      <c r="R454" s="173">
        <v>5.5E-2</v>
      </c>
    </row>
    <row r="455" spans="11:18" x14ac:dyDescent="0.25">
      <c r="K455" s="172">
        <v>447</v>
      </c>
      <c r="L455" s="173">
        <v>0.43</v>
      </c>
      <c r="Q455" s="172">
        <v>111.75</v>
      </c>
      <c r="R455" s="173">
        <v>5.3999999999999999E-2</v>
      </c>
    </row>
    <row r="456" spans="11:18" x14ac:dyDescent="0.25">
      <c r="K456" s="172">
        <v>448</v>
      </c>
      <c r="L456" s="173">
        <v>0.43</v>
      </c>
      <c r="Q456" s="172">
        <v>112</v>
      </c>
      <c r="R456" s="173">
        <v>5.0999999999999997E-2</v>
      </c>
    </row>
    <row r="457" spans="11:18" x14ac:dyDescent="0.25">
      <c r="K457" s="172">
        <v>449</v>
      </c>
      <c r="L457" s="173">
        <v>0.43</v>
      </c>
      <c r="Q457" s="172">
        <v>112.25</v>
      </c>
      <c r="R457" s="173">
        <v>4.9000000000000002E-2</v>
      </c>
    </row>
    <row r="458" spans="11:18" x14ac:dyDescent="0.25">
      <c r="K458" s="172">
        <v>450</v>
      </c>
      <c r="L458" s="173">
        <v>0.43</v>
      </c>
      <c r="Q458" s="172">
        <v>112.5</v>
      </c>
      <c r="R458" s="173">
        <v>4.8000000000000001E-2</v>
      </c>
    </row>
    <row r="459" spans="11:18" x14ac:dyDescent="0.25">
      <c r="K459" s="172">
        <v>451</v>
      </c>
      <c r="L459" s="173">
        <v>0.43</v>
      </c>
      <c r="Q459" s="172">
        <v>112.75</v>
      </c>
      <c r="R459" s="173">
        <v>4.5999999999999999E-2</v>
      </c>
    </row>
    <row r="460" spans="11:18" x14ac:dyDescent="0.25">
      <c r="K460" s="172">
        <v>452</v>
      </c>
      <c r="L460" s="173">
        <v>0.43</v>
      </c>
      <c r="Q460" s="172">
        <v>113</v>
      </c>
      <c r="R460" s="173">
        <v>4.5999999999999999E-2</v>
      </c>
    </row>
    <row r="461" spans="11:18" x14ac:dyDescent="0.25">
      <c r="K461" s="172">
        <v>453</v>
      </c>
      <c r="L461" s="173">
        <v>0.43</v>
      </c>
      <c r="Q461" s="172">
        <v>113.25</v>
      </c>
      <c r="R461" s="173">
        <v>4.4999999999999998E-2</v>
      </c>
    </row>
    <row r="462" spans="11:18" x14ac:dyDescent="0.25">
      <c r="K462" s="172">
        <v>454</v>
      </c>
      <c r="L462" s="173">
        <v>0.43</v>
      </c>
      <c r="Q462" s="172">
        <v>113.5</v>
      </c>
      <c r="R462" s="173">
        <v>4.4999999999999998E-2</v>
      </c>
    </row>
    <row r="463" spans="11:18" x14ac:dyDescent="0.25">
      <c r="K463" s="172">
        <v>455</v>
      </c>
      <c r="L463" s="173">
        <v>0.43</v>
      </c>
      <c r="Q463" s="172">
        <v>113.75</v>
      </c>
      <c r="R463" s="173">
        <v>4.4999999999999998E-2</v>
      </c>
    </row>
    <row r="464" spans="11:18" x14ac:dyDescent="0.25">
      <c r="K464" s="172">
        <v>456</v>
      </c>
      <c r="L464" s="173">
        <v>0.43</v>
      </c>
      <c r="Q464" s="172">
        <v>114</v>
      </c>
      <c r="R464" s="173">
        <v>4.4999999999999998E-2</v>
      </c>
    </row>
    <row r="465" spans="11:18" x14ac:dyDescent="0.25">
      <c r="K465" s="172">
        <v>457</v>
      </c>
      <c r="L465" s="173">
        <v>0.43</v>
      </c>
      <c r="Q465" s="172">
        <v>114.25</v>
      </c>
      <c r="R465" s="173">
        <v>4.4999999999999998E-2</v>
      </c>
    </row>
    <row r="466" spans="11:18" x14ac:dyDescent="0.25">
      <c r="K466" s="172">
        <v>458</v>
      </c>
      <c r="L466" s="173">
        <v>0.43</v>
      </c>
      <c r="Q466" s="172">
        <v>114.5</v>
      </c>
      <c r="R466" s="173">
        <v>4.4999999999999998E-2</v>
      </c>
    </row>
    <row r="467" spans="11:18" x14ac:dyDescent="0.25">
      <c r="K467" s="172">
        <v>459</v>
      </c>
      <c r="L467" s="173">
        <v>0.42</v>
      </c>
      <c r="Q467" s="172">
        <v>114.75</v>
      </c>
      <c r="R467" s="173">
        <v>4.4999999999999998E-2</v>
      </c>
    </row>
    <row r="468" spans="11:18" x14ac:dyDescent="0.25">
      <c r="K468" s="172">
        <v>460</v>
      </c>
      <c r="L468" s="173">
        <v>0.42</v>
      </c>
      <c r="Q468" s="172">
        <v>115</v>
      </c>
      <c r="R468" s="173">
        <v>4.4999999999999998E-2</v>
      </c>
    </row>
    <row r="469" spans="11:18" x14ac:dyDescent="0.25">
      <c r="K469" s="172">
        <v>461</v>
      </c>
      <c r="L469" s="173">
        <v>0.42</v>
      </c>
      <c r="Q469" s="172">
        <v>115.25</v>
      </c>
      <c r="R469" s="173">
        <v>4.5999999999999999E-2</v>
      </c>
    </row>
    <row r="470" spans="11:18" x14ac:dyDescent="0.25">
      <c r="K470" s="172">
        <v>462</v>
      </c>
      <c r="L470" s="173">
        <v>0.42</v>
      </c>
      <c r="Q470" s="172">
        <v>115.5</v>
      </c>
      <c r="R470" s="173">
        <v>4.5999999999999999E-2</v>
      </c>
    </row>
    <row r="471" spans="11:18" x14ac:dyDescent="0.25">
      <c r="K471" s="172">
        <v>463</v>
      </c>
      <c r="L471" s="173">
        <v>0.42</v>
      </c>
      <c r="Q471" s="172">
        <v>115.75</v>
      </c>
      <c r="R471" s="173">
        <v>4.5999999999999999E-2</v>
      </c>
    </row>
    <row r="472" spans="11:18" x14ac:dyDescent="0.25">
      <c r="K472" s="172">
        <v>464</v>
      </c>
      <c r="L472" s="173">
        <v>0.42</v>
      </c>
      <c r="Q472" s="172">
        <v>116</v>
      </c>
      <c r="R472" s="173">
        <v>4.5999999999999999E-2</v>
      </c>
    </row>
    <row r="473" spans="11:18" x14ac:dyDescent="0.25">
      <c r="K473" s="172">
        <v>465</v>
      </c>
      <c r="L473" s="173">
        <v>0.42</v>
      </c>
      <c r="Q473" s="172">
        <v>116.25</v>
      </c>
      <c r="R473" s="173">
        <v>4.5999999999999999E-2</v>
      </c>
    </row>
    <row r="474" spans="11:18" x14ac:dyDescent="0.25">
      <c r="K474" s="172">
        <v>466</v>
      </c>
      <c r="L474" s="173">
        <v>0.42</v>
      </c>
      <c r="Q474" s="172">
        <v>116.5</v>
      </c>
      <c r="R474" s="173">
        <v>4.5999999999999999E-2</v>
      </c>
    </row>
    <row r="475" spans="11:18" x14ac:dyDescent="0.25">
      <c r="K475" s="172">
        <v>467</v>
      </c>
      <c r="L475" s="173">
        <v>0.42</v>
      </c>
      <c r="Q475" s="172">
        <v>116.75</v>
      </c>
      <c r="R475" s="173">
        <v>4.5999999999999999E-2</v>
      </c>
    </row>
    <row r="476" spans="11:18" x14ac:dyDescent="0.25">
      <c r="K476" s="172">
        <v>468</v>
      </c>
      <c r="L476" s="173">
        <v>0.42</v>
      </c>
      <c r="Q476" s="172">
        <v>117</v>
      </c>
      <c r="R476" s="173">
        <v>4.5999999999999999E-2</v>
      </c>
    </row>
    <row r="477" spans="11:18" x14ac:dyDescent="0.25">
      <c r="K477" s="172">
        <v>469</v>
      </c>
      <c r="L477" s="173">
        <v>0.42</v>
      </c>
      <c r="Q477" s="172">
        <v>117.25</v>
      </c>
      <c r="R477" s="173">
        <v>4.5999999999999999E-2</v>
      </c>
    </row>
    <row r="478" spans="11:18" x14ac:dyDescent="0.25">
      <c r="K478" s="172">
        <v>470</v>
      </c>
      <c r="L478" s="173">
        <v>0.42</v>
      </c>
      <c r="Q478" s="172">
        <v>117.5</v>
      </c>
      <c r="R478" s="173">
        <v>4.5999999999999999E-2</v>
      </c>
    </row>
    <row r="479" spans="11:18" x14ac:dyDescent="0.25">
      <c r="K479" s="172">
        <v>471</v>
      </c>
      <c r="L479" s="173">
        <v>0.42</v>
      </c>
      <c r="Q479" s="172">
        <v>117.75</v>
      </c>
      <c r="R479" s="173">
        <v>4.5999999999999999E-2</v>
      </c>
    </row>
    <row r="480" spans="11:18" x14ac:dyDescent="0.25">
      <c r="K480" s="172">
        <v>472</v>
      </c>
      <c r="L480" s="173">
        <v>0.42</v>
      </c>
      <c r="Q480" s="172">
        <v>118</v>
      </c>
      <c r="R480" s="173">
        <v>4.5999999999999999E-2</v>
      </c>
    </row>
    <row r="481" spans="11:18" x14ac:dyDescent="0.25">
      <c r="K481" s="172">
        <v>473</v>
      </c>
      <c r="L481" s="173">
        <v>0.42</v>
      </c>
      <c r="Q481" s="172">
        <v>118.25</v>
      </c>
      <c r="R481" s="173">
        <v>4.5999999999999999E-2</v>
      </c>
    </row>
    <row r="482" spans="11:18" x14ac:dyDescent="0.25">
      <c r="K482" s="172">
        <v>474</v>
      </c>
      <c r="L482" s="173">
        <v>0.42</v>
      </c>
      <c r="Q482" s="172">
        <v>118.5</v>
      </c>
      <c r="R482" s="173">
        <v>4.5999999999999999E-2</v>
      </c>
    </row>
    <row r="483" spans="11:18" x14ac:dyDescent="0.25">
      <c r="K483" s="172">
        <v>475</v>
      </c>
      <c r="L483" s="173">
        <v>0.42</v>
      </c>
      <c r="Q483" s="172">
        <v>118.75</v>
      </c>
      <c r="R483" s="173">
        <v>4.5999999999999999E-2</v>
      </c>
    </row>
    <row r="484" spans="11:18" x14ac:dyDescent="0.25">
      <c r="K484" s="172">
        <v>476</v>
      </c>
      <c r="L484" s="173">
        <v>0.41</v>
      </c>
      <c r="Q484" s="172">
        <v>119</v>
      </c>
      <c r="R484" s="173">
        <v>4.5999999999999999E-2</v>
      </c>
    </row>
    <row r="485" spans="11:18" x14ac:dyDescent="0.25">
      <c r="K485" s="172">
        <v>477</v>
      </c>
      <c r="L485" s="173">
        <v>0.41</v>
      </c>
      <c r="Q485" s="172">
        <v>119.25</v>
      </c>
      <c r="R485" s="173">
        <v>4.5999999999999999E-2</v>
      </c>
    </row>
    <row r="486" spans="11:18" x14ac:dyDescent="0.25">
      <c r="K486" s="172">
        <v>478</v>
      </c>
      <c r="L486" s="173">
        <v>0.41</v>
      </c>
      <c r="Q486" s="172">
        <v>119.5</v>
      </c>
      <c r="R486" s="173">
        <v>4.5999999999999999E-2</v>
      </c>
    </row>
    <row r="487" spans="11:18" x14ac:dyDescent="0.25">
      <c r="K487" s="172">
        <v>479</v>
      </c>
      <c r="L487" s="173">
        <v>0.41</v>
      </c>
      <c r="Q487" s="172">
        <v>119.75</v>
      </c>
      <c r="R487" s="173">
        <v>4.5999999999999999E-2</v>
      </c>
    </row>
    <row r="488" spans="11:18" x14ac:dyDescent="0.25">
      <c r="K488" s="172">
        <v>480</v>
      </c>
      <c r="L488" s="173">
        <v>0.41</v>
      </c>
      <c r="Q488" s="172">
        <v>120</v>
      </c>
      <c r="R488" s="173">
        <v>4.5999999999999999E-2</v>
      </c>
    </row>
    <row r="489" spans="11:18" x14ac:dyDescent="0.25">
      <c r="K489" s="172">
        <v>481</v>
      </c>
      <c r="L489" s="173">
        <v>0.41</v>
      </c>
      <c r="Q489" s="172">
        <v>120.25</v>
      </c>
      <c r="R489" s="173">
        <v>4.5999999999999999E-2</v>
      </c>
    </row>
    <row r="490" spans="11:18" x14ac:dyDescent="0.25">
      <c r="K490" s="172">
        <v>482</v>
      </c>
      <c r="L490" s="173">
        <v>0.41</v>
      </c>
      <c r="Q490" s="172">
        <v>120.5</v>
      </c>
      <c r="R490" s="173">
        <v>4.5999999999999999E-2</v>
      </c>
    </row>
    <row r="491" spans="11:18" x14ac:dyDescent="0.25">
      <c r="K491" s="172">
        <v>483</v>
      </c>
      <c r="L491" s="173">
        <v>0.41</v>
      </c>
      <c r="Q491" s="172">
        <v>120.75</v>
      </c>
      <c r="R491" s="173">
        <v>4.5999999999999999E-2</v>
      </c>
    </row>
    <row r="492" spans="11:18" x14ac:dyDescent="0.25">
      <c r="K492" s="172">
        <v>484</v>
      </c>
      <c r="L492" s="173">
        <v>0.41</v>
      </c>
      <c r="Q492" s="172">
        <v>121</v>
      </c>
      <c r="R492" s="173">
        <v>4.5999999999999999E-2</v>
      </c>
    </row>
    <row r="493" spans="11:18" x14ac:dyDescent="0.25">
      <c r="K493" s="172">
        <v>485</v>
      </c>
      <c r="L493" s="173">
        <v>0.41</v>
      </c>
      <c r="Q493" s="172">
        <v>121.25</v>
      </c>
      <c r="R493" s="173">
        <v>4.7E-2</v>
      </c>
    </row>
    <row r="494" spans="11:18" x14ac:dyDescent="0.25">
      <c r="K494" s="172">
        <v>486</v>
      </c>
      <c r="L494" s="173">
        <v>0.41</v>
      </c>
      <c r="Q494" s="172">
        <v>121.5</v>
      </c>
      <c r="R494" s="173">
        <v>4.7E-2</v>
      </c>
    </row>
    <row r="495" spans="11:18" x14ac:dyDescent="0.25">
      <c r="K495" s="172">
        <v>487</v>
      </c>
      <c r="L495" s="173">
        <v>0.41</v>
      </c>
      <c r="Q495" s="172">
        <v>121.75</v>
      </c>
      <c r="R495" s="173">
        <v>4.7E-2</v>
      </c>
    </row>
    <row r="496" spans="11:18" x14ac:dyDescent="0.25">
      <c r="K496" s="172">
        <v>488</v>
      </c>
      <c r="L496" s="173">
        <v>0.41</v>
      </c>
      <c r="Q496" s="172">
        <v>122</v>
      </c>
      <c r="R496" s="173">
        <v>4.5999999999999999E-2</v>
      </c>
    </row>
    <row r="497" spans="11:18" x14ac:dyDescent="0.25">
      <c r="K497" s="172">
        <v>489</v>
      </c>
      <c r="L497" s="173">
        <v>0.41</v>
      </c>
      <c r="Q497" s="172">
        <v>122.25</v>
      </c>
      <c r="R497" s="173">
        <v>4.4999999999999998E-2</v>
      </c>
    </row>
    <row r="498" spans="11:18" x14ac:dyDescent="0.25">
      <c r="K498" s="172">
        <v>490</v>
      </c>
      <c r="L498" s="173">
        <v>0.41</v>
      </c>
      <c r="Q498" s="172">
        <v>122.5</v>
      </c>
      <c r="R498" s="173">
        <v>4.7E-2</v>
      </c>
    </row>
    <row r="499" spans="11:18" x14ac:dyDescent="0.25">
      <c r="K499" s="172">
        <v>491</v>
      </c>
      <c r="L499" s="173">
        <v>0.41</v>
      </c>
      <c r="Q499" s="172">
        <v>122.75</v>
      </c>
      <c r="R499" s="173">
        <v>5.0999999999999997E-2</v>
      </c>
    </row>
    <row r="500" spans="11:18" x14ac:dyDescent="0.25">
      <c r="K500" s="172">
        <v>492</v>
      </c>
      <c r="L500" s="173">
        <v>0.41</v>
      </c>
      <c r="Q500" s="172">
        <v>123</v>
      </c>
      <c r="R500" s="173">
        <v>5.1999999999999998E-2</v>
      </c>
    </row>
    <row r="501" spans="11:18" x14ac:dyDescent="0.25">
      <c r="K501" s="172">
        <v>493</v>
      </c>
      <c r="L501" s="173">
        <v>0.41</v>
      </c>
      <c r="Q501" s="172">
        <v>123.25</v>
      </c>
      <c r="R501" s="173">
        <v>0.05</v>
      </c>
    </row>
    <row r="502" spans="11:18" x14ac:dyDescent="0.25">
      <c r="K502" s="172">
        <v>494</v>
      </c>
      <c r="L502" s="173">
        <v>0.41</v>
      </c>
      <c r="Q502" s="172">
        <v>123.5</v>
      </c>
      <c r="R502" s="173">
        <v>4.9000000000000002E-2</v>
      </c>
    </row>
    <row r="503" spans="11:18" x14ac:dyDescent="0.25">
      <c r="K503" s="172">
        <v>495</v>
      </c>
      <c r="L503" s="173">
        <v>0.41</v>
      </c>
      <c r="Q503" s="172">
        <v>123.75</v>
      </c>
      <c r="R503" s="173">
        <v>4.7E-2</v>
      </c>
    </row>
    <row r="504" spans="11:18" x14ac:dyDescent="0.25">
      <c r="K504" s="172">
        <v>496</v>
      </c>
      <c r="L504" s="173">
        <v>0.41</v>
      </c>
      <c r="Q504" s="172">
        <v>124</v>
      </c>
      <c r="R504" s="173">
        <v>4.5999999999999999E-2</v>
      </c>
    </row>
    <row r="505" spans="11:18" x14ac:dyDescent="0.25">
      <c r="K505" s="172">
        <v>497</v>
      </c>
      <c r="L505" s="173">
        <v>0.41</v>
      </c>
      <c r="Q505" s="172">
        <v>124.25</v>
      </c>
      <c r="R505" s="173">
        <v>4.5999999999999999E-2</v>
      </c>
    </row>
    <row r="506" spans="11:18" x14ac:dyDescent="0.25">
      <c r="K506" s="172">
        <v>498</v>
      </c>
      <c r="L506" s="173">
        <v>0.41</v>
      </c>
      <c r="Q506" s="172">
        <v>124.5</v>
      </c>
      <c r="R506" s="173">
        <v>4.5999999999999999E-2</v>
      </c>
    </row>
    <row r="507" spans="11:18" x14ac:dyDescent="0.25">
      <c r="K507" s="172">
        <v>499</v>
      </c>
      <c r="L507" s="173">
        <v>0.41</v>
      </c>
      <c r="Q507" s="172">
        <v>124.75</v>
      </c>
      <c r="R507" s="173">
        <v>4.4999999999999998E-2</v>
      </c>
    </row>
    <row r="508" spans="11:18" x14ac:dyDescent="0.25">
      <c r="K508" s="172">
        <v>500</v>
      </c>
      <c r="L508" s="173">
        <v>0.4</v>
      </c>
      <c r="Q508" s="172">
        <v>125</v>
      </c>
      <c r="R508" s="173">
        <v>4.4999999999999998E-2</v>
      </c>
    </row>
    <row r="509" spans="11:18" x14ac:dyDescent="0.25">
      <c r="K509" s="172">
        <v>501</v>
      </c>
      <c r="L509" s="173">
        <v>0.4</v>
      </c>
      <c r="Q509" s="172">
        <v>125.25</v>
      </c>
      <c r="R509" s="173">
        <v>4.4999999999999998E-2</v>
      </c>
    </row>
    <row r="510" spans="11:18" x14ac:dyDescent="0.25">
      <c r="K510" s="172">
        <v>502</v>
      </c>
      <c r="L510" s="173">
        <v>0.4</v>
      </c>
      <c r="Q510" s="172">
        <v>125.5</v>
      </c>
      <c r="R510" s="173">
        <v>4.5999999999999999E-2</v>
      </c>
    </row>
    <row r="511" spans="11:18" x14ac:dyDescent="0.25">
      <c r="K511" s="172">
        <v>503</v>
      </c>
      <c r="L511" s="173">
        <v>0.4</v>
      </c>
      <c r="Q511" s="172">
        <v>125.75</v>
      </c>
      <c r="R511" s="173">
        <v>4.5999999999999999E-2</v>
      </c>
    </row>
    <row r="512" spans="11:18" x14ac:dyDescent="0.25">
      <c r="K512" s="172">
        <v>504</v>
      </c>
      <c r="L512" s="173">
        <v>0.4</v>
      </c>
      <c r="Q512" s="172">
        <v>126</v>
      </c>
      <c r="R512" s="173">
        <v>4.5999999999999999E-2</v>
      </c>
    </row>
    <row r="513" spans="11:18" x14ac:dyDescent="0.25">
      <c r="K513" s="172">
        <v>505</v>
      </c>
      <c r="L513" s="173">
        <v>0.4</v>
      </c>
      <c r="Q513" s="172">
        <v>126.25</v>
      </c>
      <c r="R513" s="173">
        <v>4.5999999999999999E-2</v>
      </c>
    </row>
    <row r="514" spans="11:18" x14ac:dyDescent="0.25">
      <c r="K514" s="172">
        <v>506</v>
      </c>
      <c r="L514" s="173">
        <v>0.4</v>
      </c>
      <c r="Q514" s="172">
        <v>126.5</v>
      </c>
      <c r="R514" s="173">
        <v>4.5999999999999999E-2</v>
      </c>
    </row>
    <row r="515" spans="11:18" x14ac:dyDescent="0.25">
      <c r="K515" s="172">
        <v>507</v>
      </c>
      <c r="L515" s="173">
        <v>0.4</v>
      </c>
      <c r="Q515" s="172">
        <v>126.75</v>
      </c>
      <c r="R515" s="173">
        <v>4.5999999999999999E-2</v>
      </c>
    </row>
    <row r="516" spans="11:18" x14ac:dyDescent="0.25">
      <c r="K516" s="172">
        <v>508</v>
      </c>
      <c r="L516" s="173">
        <v>0.4</v>
      </c>
      <c r="Q516" s="172">
        <v>127</v>
      </c>
      <c r="R516" s="173">
        <v>4.5999999999999999E-2</v>
      </c>
    </row>
    <row r="517" spans="11:18" x14ac:dyDescent="0.25">
      <c r="K517" s="172">
        <v>509</v>
      </c>
      <c r="L517" s="173">
        <v>0.4</v>
      </c>
      <c r="Q517" s="172">
        <v>127.25</v>
      </c>
      <c r="R517" s="173">
        <v>4.5999999999999999E-2</v>
      </c>
    </row>
    <row r="518" spans="11:18" x14ac:dyDescent="0.25">
      <c r="K518" s="172">
        <v>510</v>
      </c>
      <c r="L518" s="173">
        <v>0.4</v>
      </c>
      <c r="Q518" s="172">
        <v>127.5</v>
      </c>
      <c r="R518" s="173">
        <v>4.5999999999999999E-2</v>
      </c>
    </row>
    <row r="519" spans="11:18" x14ac:dyDescent="0.25">
      <c r="K519" s="172">
        <v>511</v>
      </c>
      <c r="L519" s="173">
        <v>0.4</v>
      </c>
      <c r="Q519" s="172">
        <v>127.75</v>
      </c>
      <c r="R519" s="173">
        <v>4.5999999999999999E-2</v>
      </c>
    </row>
    <row r="520" spans="11:18" x14ac:dyDescent="0.25">
      <c r="K520" s="172">
        <v>512</v>
      </c>
      <c r="L520" s="173">
        <v>0.4</v>
      </c>
      <c r="Q520" s="172">
        <v>128</v>
      </c>
      <c r="R520" s="173">
        <v>4.5999999999999999E-2</v>
      </c>
    </row>
    <row r="521" spans="11:18" x14ac:dyDescent="0.25">
      <c r="K521" s="172">
        <v>513</v>
      </c>
      <c r="L521" s="173">
        <v>0.4</v>
      </c>
      <c r="Q521" s="172">
        <v>128.25</v>
      </c>
      <c r="R521" s="173">
        <v>4.5999999999999999E-2</v>
      </c>
    </row>
    <row r="522" spans="11:18" x14ac:dyDescent="0.25">
      <c r="K522" s="172">
        <v>514</v>
      </c>
      <c r="L522" s="173">
        <v>0.4</v>
      </c>
      <c r="Q522" s="172">
        <v>128.5</v>
      </c>
      <c r="R522" s="173">
        <v>4.5999999999999999E-2</v>
      </c>
    </row>
    <row r="523" spans="11:18" x14ac:dyDescent="0.25">
      <c r="K523" s="172">
        <v>515</v>
      </c>
      <c r="L523" s="173">
        <v>0.4</v>
      </c>
      <c r="Q523" s="172">
        <v>128.75</v>
      </c>
      <c r="R523" s="173">
        <v>4.5999999999999999E-2</v>
      </c>
    </row>
    <row r="524" spans="11:18" x14ac:dyDescent="0.25">
      <c r="K524" s="172">
        <v>516</v>
      </c>
      <c r="L524" s="173">
        <v>0.4</v>
      </c>
      <c r="Q524" s="172">
        <v>129</v>
      </c>
      <c r="R524" s="173">
        <v>4.5999999999999999E-2</v>
      </c>
    </row>
    <row r="525" spans="11:18" x14ac:dyDescent="0.25">
      <c r="K525" s="172">
        <v>517</v>
      </c>
      <c r="L525" s="173">
        <v>0.4</v>
      </c>
      <c r="Q525" s="172">
        <v>129.25</v>
      </c>
      <c r="R525" s="173">
        <v>4.5999999999999999E-2</v>
      </c>
    </row>
    <row r="526" spans="11:18" x14ac:dyDescent="0.25">
      <c r="K526" s="172">
        <v>518</v>
      </c>
      <c r="L526" s="173">
        <v>0.4</v>
      </c>
      <c r="Q526" s="172">
        <v>129.5</v>
      </c>
      <c r="R526" s="173">
        <v>4.5999999999999999E-2</v>
      </c>
    </row>
    <row r="527" spans="11:18" x14ac:dyDescent="0.25">
      <c r="K527" s="172">
        <v>519</v>
      </c>
      <c r="L527" s="173">
        <v>0.4</v>
      </c>
      <c r="Q527" s="172">
        <v>129.75</v>
      </c>
      <c r="R527" s="173">
        <v>4.4999999999999998E-2</v>
      </c>
    </row>
    <row r="528" spans="11:18" x14ac:dyDescent="0.25">
      <c r="K528" s="172">
        <v>520</v>
      </c>
      <c r="L528" s="173">
        <v>0.4</v>
      </c>
      <c r="Q528" s="172">
        <v>130</v>
      </c>
      <c r="R528" s="173">
        <v>4.4999999999999998E-2</v>
      </c>
    </row>
    <row r="529" spans="11:18" x14ac:dyDescent="0.25">
      <c r="K529" s="172">
        <v>521</v>
      </c>
      <c r="L529" s="173">
        <v>0.4</v>
      </c>
      <c r="Q529" s="172">
        <v>130.25</v>
      </c>
      <c r="R529" s="173">
        <v>4.7E-2</v>
      </c>
    </row>
    <row r="530" spans="11:18" x14ac:dyDescent="0.25">
      <c r="K530" s="172">
        <v>522</v>
      </c>
      <c r="L530" s="173">
        <v>0.4</v>
      </c>
      <c r="Q530" s="172">
        <v>130.5</v>
      </c>
      <c r="R530" s="173">
        <v>5.0999999999999997E-2</v>
      </c>
    </row>
    <row r="531" spans="11:18" x14ac:dyDescent="0.25">
      <c r="K531" s="172">
        <v>523</v>
      </c>
      <c r="L531" s="173">
        <v>0.4</v>
      </c>
      <c r="Q531" s="172">
        <v>130.75</v>
      </c>
      <c r="R531" s="173">
        <v>5.0999999999999997E-2</v>
      </c>
    </row>
    <row r="532" spans="11:18" x14ac:dyDescent="0.25">
      <c r="K532" s="172">
        <v>524</v>
      </c>
      <c r="L532" s="173">
        <v>0.4</v>
      </c>
      <c r="Q532" s="172">
        <v>131</v>
      </c>
      <c r="R532" s="173">
        <v>4.9000000000000002E-2</v>
      </c>
    </row>
    <row r="533" spans="11:18" x14ac:dyDescent="0.25">
      <c r="K533" s="172">
        <v>525</v>
      </c>
      <c r="L533" s="173">
        <v>0.4</v>
      </c>
      <c r="Q533" s="172">
        <v>131.25</v>
      </c>
      <c r="R533" s="173">
        <v>4.8000000000000001E-2</v>
      </c>
    </row>
    <row r="534" spans="11:18" x14ac:dyDescent="0.25">
      <c r="K534" s="172">
        <v>526</v>
      </c>
      <c r="L534" s="173">
        <v>0.4</v>
      </c>
      <c r="Q534" s="172">
        <v>131.5</v>
      </c>
      <c r="R534" s="173">
        <v>4.7E-2</v>
      </c>
    </row>
    <row r="535" spans="11:18" x14ac:dyDescent="0.25">
      <c r="K535" s="172">
        <v>527</v>
      </c>
      <c r="L535" s="173">
        <v>0.4</v>
      </c>
      <c r="Q535" s="172">
        <v>131.75</v>
      </c>
      <c r="R535" s="173">
        <v>4.5999999999999999E-2</v>
      </c>
    </row>
    <row r="536" spans="11:18" x14ac:dyDescent="0.25">
      <c r="K536" s="172">
        <v>528</v>
      </c>
      <c r="L536" s="173">
        <v>0.4</v>
      </c>
      <c r="Q536" s="172">
        <v>132</v>
      </c>
      <c r="R536" s="173">
        <v>4.5999999999999999E-2</v>
      </c>
    </row>
    <row r="537" spans="11:18" x14ac:dyDescent="0.25">
      <c r="K537" s="172">
        <v>529</v>
      </c>
      <c r="L537" s="173">
        <v>0.4</v>
      </c>
      <c r="Q537" s="172">
        <v>132.25</v>
      </c>
      <c r="R537" s="173">
        <v>4.5999999999999999E-2</v>
      </c>
    </row>
    <row r="538" spans="11:18" x14ac:dyDescent="0.25">
      <c r="K538" s="172">
        <v>530</v>
      </c>
      <c r="L538" s="173">
        <v>0.4</v>
      </c>
      <c r="Q538" s="172">
        <v>132.5</v>
      </c>
      <c r="R538" s="173">
        <v>4.5999999999999999E-2</v>
      </c>
    </row>
    <row r="539" spans="11:18" x14ac:dyDescent="0.25">
      <c r="K539" s="172">
        <v>531</v>
      </c>
      <c r="L539" s="173">
        <v>0.4</v>
      </c>
      <c r="Q539" s="172">
        <v>132.75</v>
      </c>
      <c r="R539" s="173">
        <v>4.5999999999999999E-2</v>
      </c>
    </row>
    <row r="540" spans="11:18" x14ac:dyDescent="0.25">
      <c r="K540" s="172">
        <v>532</v>
      </c>
      <c r="L540" s="173">
        <v>0.4</v>
      </c>
      <c r="Q540" s="172">
        <v>133</v>
      </c>
      <c r="R540" s="173">
        <v>4.5999999999999999E-2</v>
      </c>
    </row>
    <row r="541" spans="11:18" x14ac:dyDescent="0.25">
      <c r="K541" s="172">
        <v>533</v>
      </c>
      <c r="L541" s="173">
        <v>0.4</v>
      </c>
      <c r="Q541" s="172">
        <v>133.25</v>
      </c>
      <c r="R541" s="173">
        <v>4.5999999999999999E-2</v>
      </c>
    </row>
    <row r="542" spans="11:18" x14ac:dyDescent="0.25">
      <c r="K542" s="172">
        <v>534</v>
      </c>
      <c r="L542" s="173">
        <v>0.4</v>
      </c>
      <c r="Q542" s="172">
        <v>133.5</v>
      </c>
      <c r="R542" s="173">
        <v>4.5999999999999999E-2</v>
      </c>
    </row>
    <row r="543" spans="11:18" x14ac:dyDescent="0.25">
      <c r="K543" s="172">
        <v>535</v>
      </c>
      <c r="L543" s="173">
        <v>0.4</v>
      </c>
      <c r="Q543" s="172">
        <v>133.75</v>
      </c>
      <c r="R543" s="173">
        <v>4.5999999999999999E-2</v>
      </c>
    </row>
    <row r="544" spans="11:18" x14ac:dyDescent="0.25">
      <c r="K544" s="172">
        <v>536</v>
      </c>
      <c r="L544" s="173">
        <v>0.4</v>
      </c>
      <c r="Q544" s="172">
        <v>134</v>
      </c>
      <c r="R544" s="173">
        <v>4.5999999999999999E-2</v>
      </c>
    </row>
    <row r="545" spans="11:18" x14ac:dyDescent="0.25">
      <c r="K545" s="172">
        <v>537</v>
      </c>
      <c r="L545" s="173">
        <v>0.4</v>
      </c>
      <c r="Q545" s="172">
        <v>134.25</v>
      </c>
      <c r="R545" s="173">
        <v>4.5999999999999999E-2</v>
      </c>
    </row>
    <row r="546" spans="11:18" x14ac:dyDescent="0.25">
      <c r="K546" s="172">
        <v>538</v>
      </c>
      <c r="L546" s="173">
        <v>0.4</v>
      </c>
      <c r="Q546" s="172">
        <v>134.5</v>
      </c>
      <c r="R546" s="173">
        <v>4.5999999999999999E-2</v>
      </c>
    </row>
    <row r="547" spans="11:18" x14ac:dyDescent="0.25">
      <c r="K547" s="172">
        <v>539</v>
      </c>
      <c r="L547" s="173">
        <v>0.4</v>
      </c>
      <c r="Q547" s="172">
        <v>134.75</v>
      </c>
      <c r="R547" s="173">
        <v>4.5999999999999999E-2</v>
      </c>
    </row>
    <row r="548" spans="11:18" x14ac:dyDescent="0.25">
      <c r="K548" s="172">
        <v>540</v>
      </c>
      <c r="L548" s="173">
        <v>0.4</v>
      </c>
      <c r="Q548" s="172">
        <v>135</v>
      </c>
      <c r="R548" s="173">
        <v>4.5999999999999999E-2</v>
      </c>
    </row>
    <row r="549" spans="11:18" x14ac:dyDescent="0.25">
      <c r="K549" s="172">
        <v>541</v>
      </c>
      <c r="L549" s="173">
        <v>0.4</v>
      </c>
      <c r="Q549" s="172">
        <v>135.25</v>
      </c>
      <c r="R549" s="173">
        <v>4.5999999999999999E-2</v>
      </c>
    </row>
    <row r="550" spans="11:18" x14ac:dyDescent="0.25">
      <c r="K550" s="172">
        <v>542</v>
      </c>
      <c r="L550" s="173">
        <v>0.4</v>
      </c>
      <c r="Q550" s="172">
        <v>135.5</v>
      </c>
      <c r="R550" s="173">
        <v>4.5999999999999999E-2</v>
      </c>
    </row>
    <row r="551" spans="11:18" x14ac:dyDescent="0.25">
      <c r="K551" s="172">
        <v>543</v>
      </c>
      <c r="L551" s="173">
        <v>0.39</v>
      </c>
      <c r="Q551" s="172">
        <v>135.75</v>
      </c>
      <c r="R551" s="173">
        <v>4.5999999999999999E-2</v>
      </c>
    </row>
    <row r="552" spans="11:18" x14ac:dyDescent="0.25">
      <c r="K552" s="172">
        <v>544</v>
      </c>
      <c r="L552" s="173">
        <v>0.39</v>
      </c>
      <c r="Q552" s="172">
        <v>136</v>
      </c>
      <c r="R552" s="173">
        <v>4.5999999999999999E-2</v>
      </c>
    </row>
    <row r="553" spans="11:18" x14ac:dyDescent="0.25">
      <c r="K553" s="172">
        <v>545</v>
      </c>
      <c r="L553" s="173">
        <v>0.39</v>
      </c>
      <c r="Q553" s="172">
        <v>136.25</v>
      </c>
      <c r="R553" s="173">
        <v>4.5999999999999999E-2</v>
      </c>
    </row>
    <row r="554" spans="11:18" x14ac:dyDescent="0.25">
      <c r="K554" s="172">
        <v>546</v>
      </c>
      <c r="L554" s="173">
        <v>0.39</v>
      </c>
      <c r="Q554" s="172">
        <v>136.5</v>
      </c>
      <c r="R554" s="173">
        <v>4.5999999999999999E-2</v>
      </c>
    </row>
    <row r="555" spans="11:18" x14ac:dyDescent="0.25">
      <c r="K555" s="172">
        <v>547</v>
      </c>
      <c r="L555" s="173">
        <v>0.39</v>
      </c>
      <c r="Q555" s="172">
        <v>136.75</v>
      </c>
      <c r="R555" s="173">
        <v>4.5999999999999999E-2</v>
      </c>
    </row>
    <row r="556" spans="11:18" x14ac:dyDescent="0.25">
      <c r="K556" s="172">
        <v>548</v>
      </c>
      <c r="L556" s="173">
        <v>0.39</v>
      </c>
      <c r="Q556" s="172">
        <v>137</v>
      </c>
      <c r="R556" s="173">
        <v>4.4999999999999998E-2</v>
      </c>
    </row>
    <row r="557" spans="11:18" x14ac:dyDescent="0.25">
      <c r="K557" s="172">
        <v>549</v>
      </c>
      <c r="L557" s="173">
        <v>0.39</v>
      </c>
      <c r="Q557" s="172">
        <v>137.25</v>
      </c>
      <c r="R557" s="173">
        <v>4.4999999999999998E-2</v>
      </c>
    </row>
    <row r="558" spans="11:18" x14ac:dyDescent="0.25">
      <c r="K558" s="172">
        <v>550</v>
      </c>
      <c r="L558" s="173">
        <v>0.39</v>
      </c>
      <c r="Q558" s="172">
        <v>137.5</v>
      </c>
      <c r="R558" s="173">
        <v>4.7E-2</v>
      </c>
    </row>
    <row r="559" spans="11:18" x14ac:dyDescent="0.25">
      <c r="K559" s="172">
        <v>551</v>
      </c>
      <c r="L559" s="173">
        <v>0.39</v>
      </c>
      <c r="Q559" s="172">
        <v>137.75</v>
      </c>
      <c r="R559" s="173">
        <v>4.9000000000000002E-2</v>
      </c>
    </row>
    <row r="560" spans="11:18" x14ac:dyDescent="0.25">
      <c r="K560" s="172">
        <v>552</v>
      </c>
      <c r="L560" s="173">
        <v>0.39</v>
      </c>
      <c r="Q560" s="172">
        <v>138</v>
      </c>
      <c r="R560" s="173">
        <v>0.05</v>
      </c>
    </row>
    <row r="561" spans="11:18" x14ac:dyDescent="0.25">
      <c r="K561" s="172">
        <v>553</v>
      </c>
      <c r="L561" s="173">
        <v>0.39</v>
      </c>
      <c r="Q561" s="172">
        <v>138.25</v>
      </c>
      <c r="R561" s="173">
        <v>4.9000000000000002E-2</v>
      </c>
    </row>
    <row r="562" spans="11:18" x14ac:dyDescent="0.25">
      <c r="K562" s="172">
        <v>554</v>
      </c>
      <c r="L562" s="173">
        <v>0.39</v>
      </c>
      <c r="Q562" s="172">
        <v>138.5</v>
      </c>
      <c r="R562" s="173">
        <v>4.8000000000000001E-2</v>
      </c>
    </row>
    <row r="563" spans="11:18" x14ac:dyDescent="0.25">
      <c r="K563" s="172">
        <v>555</v>
      </c>
      <c r="L563" s="173">
        <v>0.39</v>
      </c>
      <c r="Q563" s="172">
        <v>138.75</v>
      </c>
      <c r="R563" s="173">
        <v>4.7E-2</v>
      </c>
    </row>
    <row r="564" spans="11:18" x14ac:dyDescent="0.25">
      <c r="K564" s="172">
        <v>556</v>
      </c>
      <c r="L564" s="173">
        <v>0.4</v>
      </c>
      <c r="Q564" s="172">
        <v>139</v>
      </c>
      <c r="R564" s="173">
        <v>4.5999999999999999E-2</v>
      </c>
    </row>
    <row r="565" spans="11:18" x14ac:dyDescent="0.25">
      <c r="K565" s="172">
        <v>557</v>
      </c>
      <c r="L565" s="173">
        <v>0.4</v>
      </c>
      <c r="Q565" s="172">
        <v>139.25</v>
      </c>
      <c r="R565" s="173">
        <v>4.5999999999999999E-2</v>
      </c>
    </row>
    <row r="566" spans="11:18" x14ac:dyDescent="0.25">
      <c r="K566" s="172">
        <v>558</v>
      </c>
      <c r="L566" s="173">
        <v>0.4</v>
      </c>
      <c r="Q566" s="172">
        <v>139.5</v>
      </c>
      <c r="R566" s="173">
        <v>4.5999999999999999E-2</v>
      </c>
    </row>
    <row r="567" spans="11:18" x14ac:dyDescent="0.25">
      <c r="K567" s="172">
        <v>559</v>
      </c>
      <c r="L567" s="173">
        <v>0.41</v>
      </c>
      <c r="Q567" s="172">
        <v>139.75</v>
      </c>
      <c r="R567" s="173">
        <v>4.5999999999999999E-2</v>
      </c>
    </row>
    <row r="568" spans="11:18" x14ac:dyDescent="0.25">
      <c r="K568" s="172">
        <v>560</v>
      </c>
      <c r="L568" s="173">
        <v>0.41</v>
      </c>
      <c r="Q568" s="172">
        <v>140</v>
      </c>
      <c r="R568" s="173">
        <v>4.5999999999999999E-2</v>
      </c>
    </row>
    <row r="569" spans="11:18" x14ac:dyDescent="0.25">
      <c r="K569" s="172">
        <v>561</v>
      </c>
      <c r="L569" s="173">
        <v>0.41</v>
      </c>
      <c r="Q569" s="172">
        <v>140.25</v>
      </c>
      <c r="R569" s="173">
        <v>4.5999999999999999E-2</v>
      </c>
    </row>
    <row r="570" spans="11:18" x14ac:dyDescent="0.25">
      <c r="K570" s="172">
        <v>562</v>
      </c>
      <c r="L570" s="173">
        <v>0.42</v>
      </c>
      <c r="Q570" s="172">
        <v>140.5</v>
      </c>
      <c r="R570" s="173">
        <v>4.5999999999999999E-2</v>
      </c>
    </row>
    <row r="571" spans="11:18" x14ac:dyDescent="0.25">
      <c r="K571" s="172">
        <v>563</v>
      </c>
      <c r="L571" s="173">
        <v>0.42</v>
      </c>
      <c r="Q571" s="172">
        <v>140.75</v>
      </c>
      <c r="R571" s="173">
        <v>4.5999999999999999E-2</v>
      </c>
    </row>
    <row r="572" spans="11:18" x14ac:dyDescent="0.25">
      <c r="K572" s="172">
        <v>564</v>
      </c>
      <c r="L572" s="173">
        <v>0.43</v>
      </c>
      <c r="Q572" s="172">
        <v>141</v>
      </c>
      <c r="R572" s="173">
        <v>4.5999999999999999E-2</v>
      </c>
    </row>
    <row r="573" spans="11:18" x14ac:dyDescent="0.25">
      <c r="K573" s="172">
        <v>565</v>
      </c>
      <c r="L573" s="173">
        <v>0.43</v>
      </c>
      <c r="Q573" s="172">
        <v>141.25</v>
      </c>
      <c r="R573" s="173">
        <v>4.5999999999999999E-2</v>
      </c>
    </row>
    <row r="574" spans="11:18" x14ac:dyDescent="0.25">
      <c r="K574" s="172">
        <v>566</v>
      </c>
      <c r="L574" s="173">
        <v>0.43</v>
      </c>
      <c r="Q574" s="172">
        <v>141.5</v>
      </c>
      <c r="R574" s="173">
        <v>4.5999999999999999E-2</v>
      </c>
    </row>
    <row r="575" spans="11:18" x14ac:dyDescent="0.25">
      <c r="K575" s="172">
        <v>567</v>
      </c>
      <c r="L575" s="173">
        <v>0.44</v>
      </c>
      <c r="Q575" s="172">
        <v>141.75</v>
      </c>
      <c r="R575" s="173">
        <v>4.5999999999999999E-2</v>
      </c>
    </row>
    <row r="576" spans="11:18" x14ac:dyDescent="0.25">
      <c r="K576" s="172">
        <v>568</v>
      </c>
      <c r="L576" s="173">
        <v>0.44</v>
      </c>
      <c r="Q576" s="172">
        <v>142</v>
      </c>
      <c r="R576" s="173">
        <v>4.5999999999999999E-2</v>
      </c>
    </row>
    <row r="577" spans="11:18" x14ac:dyDescent="0.25">
      <c r="K577" s="172">
        <v>569</v>
      </c>
      <c r="L577" s="173">
        <v>0.45</v>
      </c>
      <c r="Q577" s="172">
        <v>142.25</v>
      </c>
      <c r="R577" s="173">
        <v>4.5999999999999999E-2</v>
      </c>
    </row>
    <row r="578" spans="11:18" x14ac:dyDescent="0.25">
      <c r="K578" s="172">
        <v>570</v>
      </c>
      <c r="L578" s="173">
        <v>0.45</v>
      </c>
      <c r="Q578" s="172">
        <v>142.5</v>
      </c>
      <c r="R578" s="173">
        <v>4.5999999999999999E-2</v>
      </c>
    </row>
    <row r="579" spans="11:18" x14ac:dyDescent="0.25">
      <c r="K579" s="172">
        <v>571</v>
      </c>
      <c r="L579" s="173">
        <v>0.45</v>
      </c>
      <c r="Q579" s="172">
        <v>142.75</v>
      </c>
      <c r="R579" s="173">
        <v>4.5999999999999999E-2</v>
      </c>
    </row>
    <row r="580" spans="11:18" x14ac:dyDescent="0.25">
      <c r="K580" s="172">
        <v>572</v>
      </c>
      <c r="L580" s="173">
        <v>0.46</v>
      </c>
      <c r="Q580" s="172">
        <v>143</v>
      </c>
      <c r="R580" s="173">
        <v>4.5999999999999999E-2</v>
      </c>
    </row>
    <row r="581" spans="11:18" x14ac:dyDescent="0.25">
      <c r="K581" s="172">
        <v>573</v>
      </c>
      <c r="L581" s="173">
        <v>0.46</v>
      </c>
      <c r="Q581" s="172">
        <v>143.25</v>
      </c>
      <c r="R581" s="173">
        <v>5.6000000000000001E-2</v>
      </c>
    </row>
    <row r="582" spans="11:18" x14ac:dyDescent="0.25">
      <c r="K582" s="172">
        <v>574</v>
      </c>
      <c r="L582" s="173">
        <v>0.46</v>
      </c>
      <c r="Q582" s="172">
        <v>143.5</v>
      </c>
      <c r="R582" s="173">
        <v>4.8000000000000001E-2</v>
      </c>
    </row>
    <row r="583" spans="11:18" x14ac:dyDescent="0.25">
      <c r="K583" s="172">
        <v>575</v>
      </c>
      <c r="L583" s="173">
        <v>0.46</v>
      </c>
      <c r="Q583" s="172">
        <v>143.75</v>
      </c>
      <c r="R583" s="173">
        <v>4.1000000000000002E-2</v>
      </c>
    </row>
    <row r="584" spans="11:18" x14ac:dyDescent="0.25">
      <c r="K584" s="172">
        <v>576</v>
      </c>
      <c r="L584" s="173">
        <v>0.47</v>
      </c>
      <c r="Q584" s="172">
        <v>144</v>
      </c>
      <c r="R584" s="173">
        <v>4.1000000000000002E-2</v>
      </c>
    </row>
    <row r="585" spans="11:18" x14ac:dyDescent="0.25">
      <c r="K585" s="172">
        <v>577</v>
      </c>
      <c r="L585" s="173">
        <v>0.47</v>
      </c>
      <c r="Q585" s="172">
        <v>144.25</v>
      </c>
      <c r="R585" s="173">
        <v>4.3999999999999997E-2</v>
      </c>
    </row>
    <row r="586" spans="11:18" x14ac:dyDescent="0.25">
      <c r="K586" s="172">
        <v>578</v>
      </c>
      <c r="L586" s="173">
        <v>0.47</v>
      </c>
      <c r="Q586" s="172">
        <v>144.5</v>
      </c>
      <c r="R586" s="173">
        <v>4.4999999999999998E-2</v>
      </c>
    </row>
    <row r="587" spans="11:18" x14ac:dyDescent="0.25">
      <c r="K587" s="172">
        <v>579</v>
      </c>
      <c r="L587" s="173">
        <v>0.48</v>
      </c>
      <c r="Q587" s="172">
        <v>144.75</v>
      </c>
      <c r="R587" s="173">
        <v>4.4999999999999998E-2</v>
      </c>
    </row>
    <row r="588" spans="11:18" x14ac:dyDescent="0.25">
      <c r="K588" s="172">
        <v>580</v>
      </c>
      <c r="L588" s="173">
        <v>0.48</v>
      </c>
      <c r="Q588" s="172">
        <v>145</v>
      </c>
      <c r="R588" s="173">
        <v>4.4999999999999998E-2</v>
      </c>
    </row>
    <row r="589" spans="11:18" x14ac:dyDescent="0.25">
      <c r="K589" s="172">
        <v>581</v>
      </c>
      <c r="L589" s="173">
        <v>0.48</v>
      </c>
      <c r="Q589" s="172">
        <v>145.25</v>
      </c>
      <c r="R589" s="173">
        <v>4.5999999999999999E-2</v>
      </c>
    </row>
    <row r="590" spans="11:18" x14ac:dyDescent="0.25">
      <c r="K590" s="172">
        <v>582</v>
      </c>
      <c r="L590" s="173">
        <v>0.48</v>
      </c>
      <c r="Q590" s="172">
        <v>145.5</v>
      </c>
      <c r="R590" s="173">
        <v>4.5999999999999999E-2</v>
      </c>
    </row>
    <row r="591" spans="11:18" x14ac:dyDescent="0.25">
      <c r="K591" s="172">
        <v>583</v>
      </c>
      <c r="L591" s="173">
        <v>0.48</v>
      </c>
      <c r="Q591" s="172">
        <v>145.75</v>
      </c>
      <c r="R591" s="173">
        <v>4.5999999999999999E-2</v>
      </c>
    </row>
    <row r="592" spans="11:18" x14ac:dyDescent="0.25">
      <c r="K592" s="172">
        <v>584</v>
      </c>
      <c r="L592" s="173">
        <v>0.49</v>
      </c>
      <c r="Q592" s="172">
        <v>146</v>
      </c>
      <c r="R592" s="173">
        <v>4.5999999999999999E-2</v>
      </c>
    </row>
    <row r="593" spans="11:18" x14ac:dyDescent="0.25">
      <c r="K593" s="172">
        <v>585</v>
      </c>
      <c r="L593" s="173">
        <v>0.49</v>
      </c>
      <c r="Q593" s="172">
        <v>146.25</v>
      </c>
      <c r="R593" s="173">
        <v>4.5999999999999999E-2</v>
      </c>
    </row>
    <row r="594" spans="11:18" x14ac:dyDescent="0.25">
      <c r="K594" s="172">
        <v>586</v>
      </c>
      <c r="L594" s="173">
        <v>0.49</v>
      </c>
      <c r="Q594" s="172">
        <v>146.5</v>
      </c>
      <c r="R594" s="173">
        <v>4.7E-2</v>
      </c>
    </row>
    <row r="595" spans="11:18" x14ac:dyDescent="0.25">
      <c r="K595" s="172">
        <v>587</v>
      </c>
      <c r="L595" s="173">
        <v>0.49</v>
      </c>
      <c r="Q595" s="172">
        <v>146.75</v>
      </c>
      <c r="R595" s="173">
        <v>4.7E-2</v>
      </c>
    </row>
    <row r="596" spans="11:18" x14ac:dyDescent="0.25">
      <c r="K596" s="172">
        <v>588</v>
      </c>
      <c r="L596" s="173">
        <v>0.5</v>
      </c>
      <c r="Q596" s="172">
        <v>147</v>
      </c>
      <c r="R596" s="173">
        <v>4.5999999999999999E-2</v>
      </c>
    </row>
    <row r="597" spans="11:18" x14ac:dyDescent="0.25">
      <c r="K597" s="172">
        <v>589</v>
      </c>
      <c r="L597" s="173">
        <v>0.5</v>
      </c>
      <c r="Q597" s="172">
        <v>147.25</v>
      </c>
      <c r="R597" s="173">
        <v>4.5999999999999999E-2</v>
      </c>
    </row>
    <row r="598" spans="11:18" x14ac:dyDescent="0.25">
      <c r="K598" s="172">
        <v>590</v>
      </c>
      <c r="L598" s="173">
        <v>0.5</v>
      </c>
      <c r="Q598" s="172">
        <v>147.5</v>
      </c>
      <c r="R598" s="173">
        <v>4.7E-2</v>
      </c>
    </row>
    <row r="599" spans="11:18" x14ac:dyDescent="0.25">
      <c r="K599" s="172">
        <v>591</v>
      </c>
      <c r="L599" s="173">
        <v>0.5</v>
      </c>
      <c r="Q599" s="172">
        <v>147.75</v>
      </c>
      <c r="R599" s="173">
        <v>4.7E-2</v>
      </c>
    </row>
    <row r="600" spans="11:18" x14ac:dyDescent="0.25">
      <c r="K600" s="172">
        <v>592</v>
      </c>
      <c r="L600" s="173">
        <v>0.5</v>
      </c>
      <c r="Q600" s="172">
        <v>148</v>
      </c>
      <c r="R600" s="173">
        <v>4.7E-2</v>
      </c>
    </row>
    <row r="601" spans="11:18" x14ac:dyDescent="0.25">
      <c r="K601" s="172">
        <v>593</v>
      </c>
      <c r="L601" s="173">
        <v>0.5</v>
      </c>
      <c r="Q601" s="172">
        <v>148.25</v>
      </c>
      <c r="R601" s="173">
        <v>4.5999999999999999E-2</v>
      </c>
    </row>
    <row r="602" spans="11:18" x14ac:dyDescent="0.25">
      <c r="K602" s="172">
        <v>594</v>
      </c>
      <c r="L602" s="173">
        <v>0.51</v>
      </c>
      <c r="Q602" s="172">
        <v>148.5</v>
      </c>
      <c r="R602" s="173">
        <v>4.7E-2</v>
      </c>
    </row>
    <row r="603" spans="11:18" x14ac:dyDescent="0.25">
      <c r="K603" s="172">
        <v>595</v>
      </c>
      <c r="L603" s="173">
        <v>0.51</v>
      </c>
      <c r="Q603" s="172">
        <v>148.75</v>
      </c>
      <c r="R603" s="173">
        <v>4.7E-2</v>
      </c>
    </row>
    <row r="604" spans="11:18" x14ac:dyDescent="0.25">
      <c r="K604" s="172">
        <v>596</v>
      </c>
      <c r="L604" s="173">
        <v>0.51</v>
      </c>
      <c r="Q604" s="172">
        <v>149</v>
      </c>
      <c r="R604" s="173">
        <v>4.7E-2</v>
      </c>
    </row>
    <row r="605" spans="11:18" x14ac:dyDescent="0.25">
      <c r="K605" s="172">
        <v>597</v>
      </c>
      <c r="L605" s="173">
        <v>0.51</v>
      </c>
      <c r="Q605" s="172">
        <v>149.25</v>
      </c>
      <c r="R605" s="173">
        <v>4.7E-2</v>
      </c>
    </row>
    <row r="606" spans="11:18" x14ac:dyDescent="0.25">
      <c r="K606" s="172">
        <v>598</v>
      </c>
      <c r="L606" s="173">
        <v>0.51</v>
      </c>
      <c r="Q606" s="172">
        <v>149.5</v>
      </c>
      <c r="R606" s="173">
        <v>4.7E-2</v>
      </c>
    </row>
    <row r="607" spans="11:18" x14ac:dyDescent="0.25">
      <c r="K607" s="172">
        <v>599</v>
      </c>
      <c r="L607" s="173">
        <v>0.51</v>
      </c>
      <c r="Q607" s="172">
        <v>149.75</v>
      </c>
      <c r="R607" s="173">
        <v>4.7E-2</v>
      </c>
    </row>
    <row r="608" spans="11:18" x14ac:dyDescent="0.25">
      <c r="K608" s="172">
        <v>600</v>
      </c>
      <c r="L608" s="173">
        <v>0.51</v>
      </c>
      <c r="Q608" s="172">
        <v>150</v>
      </c>
      <c r="R608" s="173">
        <v>4.7E-2</v>
      </c>
    </row>
    <row r="609" spans="17:18" x14ac:dyDescent="0.25">
      <c r="Q609" s="172">
        <v>150.25</v>
      </c>
      <c r="R609" s="173">
        <v>4.7E-2</v>
      </c>
    </row>
    <row r="610" spans="17:18" x14ac:dyDescent="0.25">
      <c r="Q610" s="172">
        <v>150.5</v>
      </c>
      <c r="R610" s="173">
        <v>4.7E-2</v>
      </c>
    </row>
    <row r="611" spans="17:18" x14ac:dyDescent="0.25">
      <c r="Q611" s="172">
        <v>150.75</v>
      </c>
      <c r="R611" s="173">
        <v>4.7E-2</v>
      </c>
    </row>
    <row r="612" spans="17:18" x14ac:dyDescent="0.25">
      <c r="Q612" s="172">
        <v>151</v>
      </c>
      <c r="R612" s="173">
        <v>4.7E-2</v>
      </c>
    </row>
    <row r="613" spans="17:18" x14ac:dyDescent="0.25">
      <c r="Q613" s="172">
        <v>151.25</v>
      </c>
      <c r="R613" s="173">
        <v>4.7E-2</v>
      </c>
    </row>
    <row r="614" spans="17:18" x14ac:dyDescent="0.25">
      <c r="Q614" s="172">
        <v>151.5</v>
      </c>
      <c r="R614" s="173">
        <v>4.7E-2</v>
      </c>
    </row>
    <row r="615" spans="17:18" x14ac:dyDescent="0.25">
      <c r="Q615" s="172">
        <v>151.75</v>
      </c>
      <c r="R615" s="173">
        <v>4.7E-2</v>
      </c>
    </row>
    <row r="616" spans="17:18" x14ac:dyDescent="0.25">
      <c r="Q616" s="172">
        <v>152</v>
      </c>
      <c r="R616" s="173">
        <v>4.7E-2</v>
      </c>
    </row>
    <row r="617" spans="17:18" x14ac:dyDescent="0.25">
      <c r="Q617" s="172">
        <v>152.25</v>
      </c>
      <c r="R617" s="173">
        <v>4.7E-2</v>
      </c>
    </row>
    <row r="618" spans="17:18" x14ac:dyDescent="0.25">
      <c r="Q618" s="172">
        <v>152.5</v>
      </c>
      <c r="R618" s="173">
        <v>4.7E-2</v>
      </c>
    </row>
    <row r="619" spans="17:18" x14ac:dyDescent="0.25">
      <c r="Q619" s="172">
        <v>152.75</v>
      </c>
      <c r="R619" s="173">
        <v>4.7E-2</v>
      </c>
    </row>
    <row r="620" spans="17:18" x14ac:dyDescent="0.25">
      <c r="Q620" s="172">
        <v>153</v>
      </c>
      <c r="R620" s="173">
        <v>4.7E-2</v>
      </c>
    </row>
    <row r="621" spans="17:18" x14ac:dyDescent="0.25">
      <c r="Q621" s="172">
        <v>153.25</v>
      </c>
      <c r="R621" s="173">
        <v>4.7E-2</v>
      </c>
    </row>
    <row r="622" spans="17:18" x14ac:dyDescent="0.25">
      <c r="Q622" s="172">
        <v>153.5</v>
      </c>
      <c r="R622" s="173">
        <v>4.7E-2</v>
      </c>
    </row>
    <row r="623" spans="17:18" x14ac:dyDescent="0.25">
      <c r="Q623" s="172">
        <v>153.75</v>
      </c>
      <c r="R623" s="173">
        <v>4.7E-2</v>
      </c>
    </row>
    <row r="624" spans="17:18" x14ac:dyDescent="0.25">
      <c r="Q624" s="172">
        <v>154</v>
      </c>
      <c r="R624" s="173">
        <v>4.7E-2</v>
      </c>
    </row>
    <row r="625" spans="17:18" x14ac:dyDescent="0.25">
      <c r="Q625" s="172">
        <v>154.25</v>
      </c>
      <c r="R625" s="173">
        <v>4.7E-2</v>
      </c>
    </row>
    <row r="626" spans="17:18" x14ac:dyDescent="0.25">
      <c r="Q626" s="172">
        <v>154.5</v>
      </c>
      <c r="R626" s="173">
        <v>4.7E-2</v>
      </c>
    </row>
    <row r="627" spans="17:18" x14ac:dyDescent="0.25">
      <c r="Q627" s="172">
        <v>154.75</v>
      </c>
      <c r="R627" s="173">
        <v>4.7E-2</v>
      </c>
    </row>
    <row r="628" spans="17:18" x14ac:dyDescent="0.25">
      <c r="Q628" s="172">
        <v>155</v>
      </c>
      <c r="R628" s="173">
        <v>4.5999999999999999E-2</v>
      </c>
    </row>
    <row r="629" spans="17:18" x14ac:dyDescent="0.25">
      <c r="Q629" s="172">
        <v>155.25</v>
      </c>
      <c r="R629" s="173">
        <v>4.5999999999999999E-2</v>
      </c>
    </row>
    <row r="630" spans="17:18" x14ac:dyDescent="0.25">
      <c r="Q630" s="172">
        <v>155.5</v>
      </c>
      <c r="R630" s="173">
        <v>4.7E-2</v>
      </c>
    </row>
    <row r="631" spans="17:18" x14ac:dyDescent="0.25">
      <c r="Q631" s="172">
        <v>155.75</v>
      </c>
      <c r="R631" s="173">
        <v>4.7E-2</v>
      </c>
    </row>
    <row r="632" spans="17:18" x14ac:dyDescent="0.25">
      <c r="Q632" s="172">
        <v>156</v>
      </c>
      <c r="R632" s="173">
        <v>4.7E-2</v>
      </c>
    </row>
    <row r="633" spans="17:18" x14ac:dyDescent="0.25">
      <c r="Q633" s="172">
        <v>156.25</v>
      </c>
      <c r="R633" s="173">
        <v>4.7E-2</v>
      </c>
    </row>
    <row r="634" spans="17:18" x14ac:dyDescent="0.25">
      <c r="Q634" s="172">
        <v>156.5</v>
      </c>
      <c r="R634" s="173">
        <v>4.7E-2</v>
      </c>
    </row>
    <row r="635" spans="17:18" x14ac:dyDescent="0.25">
      <c r="Q635" s="172">
        <v>156.75</v>
      </c>
      <c r="R635" s="173">
        <v>4.7E-2</v>
      </c>
    </row>
    <row r="636" spans="17:18" x14ac:dyDescent="0.25">
      <c r="Q636" s="172">
        <v>157</v>
      </c>
      <c r="R636" s="173">
        <v>4.7E-2</v>
      </c>
    </row>
    <row r="637" spans="17:18" x14ac:dyDescent="0.25">
      <c r="Q637" s="172">
        <v>157.25</v>
      </c>
      <c r="R637" s="173">
        <v>4.7E-2</v>
      </c>
    </row>
    <row r="638" spans="17:18" x14ac:dyDescent="0.25">
      <c r="Q638" s="172">
        <v>157.5</v>
      </c>
      <c r="R638" s="173">
        <v>4.7E-2</v>
      </c>
    </row>
    <row r="639" spans="17:18" x14ac:dyDescent="0.25">
      <c r="Q639" s="172">
        <v>157.75</v>
      </c>
      <c r="R639" s="173">
        <v>4.7E-2</v>
      </c>
    </row>
    <row r="640" spans="17:18" x14ac:dyDescent="0.25">
      <c r="Q640" s="172">
        <v>158</v>
      </c>
      <c r="R640" s="173">
        <v>4.7E-2</v>
      </c>
    </row>
    <row r="641" spans="17:18" x14ac:dyDescent="0.25">
      <c r="Q641" s="172">
        <v>158.25</v>
      </c>
      <c r="R641" s="173">
        <v>4.7E-2</v>
      </c>
    </row>
    <row r="642" spans="17:18" x14ac:dyDescent="0.25">
      <c r="Q642" s="172">
        <v>158.5</v>
      </c>
      <c r="R642" s="173">
        <v>4.7E-2</v>
      </c>
    </row>
    <row r="643" spans="17:18" x14ac:dyDescent="0.25">
      <c r="Q643" s="172">
        <v>158.75</v>
      </c>
      <c r="R643" s="173">
        <v>4.7E-2</v>
      </c>
    </row>
    <row r="644" spans="17:18" x14ac:dyDescent="0.25">
      <c r="Q644" s="172">
        <v>159</v>
      </c>
      <c r="R644" s="173">
        <v>4.7E-2</v>
      </c>
    </row>
    <row r="645" spans="17:18" x14ac:dyDescent="0.25">
      <c r="Q645" s="172">
        <v>159.25</v>
      </c>
      <c r="R645" s="173">
        <v>4.7E-2</v>
      </c>
    </row>
    <row r="646" spans="17:18" x14ac:dyDescent="0.25">
      <c r="Q646" s="172">
        <v>159.5</v>
      </c>
      <c r="R646" s="173">
        <v>4.7E-2</v>
      </c>
    </row>
    <row r="647" spans="17:18" x14ac:dyDescent="0.25">
      <c r="Q647" s="172">
        <v>159.75</v>
      </c>
      <c r="R647" s="173">
        <v>4.7E-2</v>
      </c>
    </row>
    <row r="648" spans="17:18" x14ac:dyDescent="0.25">
      <c r="Q648" s="172">
        <v>160</v>
      </c>
      <c r="R648" s="173">
        <v>4.7E-2</v>
      </c>
    </row>
    <row r="649" spans="17:18" x14ac:dyDescent="0.25">
      <c r="Q649" s="172">
        <v>160.25</v>
      </c>
      <c r="R649" s="173">
        <v>4.7E-2</v>
      </c>
    </row>
    <row r="650" spans="17:18" x14ac:dyDescent="0.25">
      <c r="Q650" s="172">
        <v>160.5</v>
      </c>
      <c r="R650" s="173">
        <v>4.7E-2</v>
      </c>
    </row>
    <row r="651" spans="17:18" x14ac:dyDescent="0.25">
      <c r="Q651" s="172">
        <v>160.75</v>
      </c>
      <c r="R651" s="173">
        <v>4.7E-2</v>
      </c>
    </row>
    <row r="652" spans="17:18" x14ac:dyDescent="0.25">
      <c r="Q652" s="172">
        <v>161</v>
      </c>
      <c r="R652" s="173">
        <v>4.7E-2</v>
      </c>
    </row>
    <row r="653" spans="17:18" x14ac:dyDescent="0.25">
      <c r="Q653" s="172">
        <v>161.25</v>
      </c>
      <c r="R653" s="173">
        <v>4.7E-2</v>
      </c>
    </row>
    <row r="654" spans="17:18" x14ac:dyDescent="0.25">
      <c r="Q654" s="172">
        <v>161.5</v>
      </c>
      <c r="R654" s="173">
        <v>4.7E-2</v>
      </c>
    </row>
    <row r="655" spans="17:18" x14ac:dyDescent="0.25">
      <c r="Q655" s="172">
        <v>161.75</v>
      </c>
      <c r="R655" s="173">
        <v>4.7E-2</v>
      </c>
    </row>
    <row r="656" spans="17:18" x14ac:dyDescent="0.25">
      <c r="Q656" s="172">
        <v>162</v>
      </c>
      <c r="R656" s="173">
        <v>4.7E-2</v>
      </c>
    </row>
    <row r="657" spans="17:18" x14ac:dyDescent="0.25">
      <c r="Q657" s="172">
        <v>162.25</v>
      </c>
      <c r="R657" s="173">
        <v>4.7E-2</v>
      </c>
    </row>
    <row r="658" spans="17:18" x14ac:dyDescent="0.25">
      <c r="Q658" s="172">
        <v>162.5</v>
      </c>
      <c r="R658" s="173">
        <v>4.7E-2</v>
      </c>
    </row>
    <row r="659" spans="17:18" x14ac:dyDescent="0.25">
      <c r="Q659" s="172">
        <v>162.75</v>
      </c>
      <c r="R659" s="173">
        <v>4.7E-2</v>
      </c>
    </row>
    <row r="660" spans="17:18" x14ac:dyDescent="0.25">
      <c r="Q660" s="172">
        <v>163</v>
      </c>
      <c r="R660" s="173">
        <v>4.7E-2</v>
      </c>
    </row>
    <row r="661" spans="17:18" x14ac:dyDescent="0.25">
      <c r="Q661" s="172">
        <v>163.25</v>
      </c>
      <c r="R661" s="173">
        <v>4.7E-2</v>
      </c>
    </row>
    <row r="662" spans="17:18" x14ac:dyDescent="0.25">
      <c r="Q662" s="172">
        <v>163.5</v>
      </c>
      <c r="R662" s="173">
        <v>4.7E-2</v>
      </c>
    </row>
    <row r="663" spans="17:18" x14ac:dyDescent="0.25">
      <c r="Q663" s="172">
        <v>163.75</v>
      </c>
      <c r="R663" s="173">
        <v>4.7E-2</v>
      </c>
    </row>
    <row r="664" spans="17:18" x14ac:dyDescent="0.25">
      <c r="Q664" s="172">
        <v>164</v>
      </c>
      <c r="R664" s="173">
        <v>4.7E-2</v>
      </c>
    </row>
    <row r="665" spans="17:18" x14ac:dyDescent="0.25">
      <c r="Q665" s="172">
        <v>164.25</v>
      </c>
      <c r="R665" s="173">
        <v>4.7E-2</v>
      </c>
    </row>
    <row r="666" spans="17:18" x14ac:dyDescent="0.25">
      <c r="Q666" s="172">
        <v>164.5</v>
      </c>
      <c r="R666" s="173">
        <v>4.7E-2</v>
      </c>
    </row>
    <row r="667" spans="17:18" x14ac:dyDescent="0.25">
      <c r="Q667" s="172">
        <v>164.75</v>
      </c>
      <c r="R667" s="173">
        <v>4.7E-2</v>
      </c>
    </row>
    <row r="668" spans="17:18" x14ac:dyDescent="0.25">
      <c r="Q668" s="172">
        <v>165</v>
      </c>
      <c r="R668" s="173">
        <v>4.7E-2</v>
      </c>
    </row>
    <row r="669" spans="17:18" x14ac:dyDescent="0.25">
      <c r="Q669" s="172">
        <v>165.25</v>
      </c>
      <c r="R669" s="173">
        <v>4.7E-2</v>
      </c>
    </row>
    <row r="670" spans="17:18" x14ac:dyDescent="0.25">
      <c r="Q670" s="172">
        <v>165.5</v>
      </c>
      <c r="R670" s="173">
        <v>4.7E-2</v>
      </c>
    </row>
    <row r="671" spans="17:18" x14ac:dyDescent="0.25">
      <c r="Q671" s="172">
        <v>165.75</v>
      </c>
      <c r="R671" s="173">
        <v>4.7E-2</v>
      </c>
    </row>
    <row r="672" spans="17:18" x14ac:dyDescent="0.25">
      <c r="Q672" s="172">
        <v>166</v>
      </c>
      <c r="R672" s="173">
        <v>4.7E-2</v>
      </c>
    </row>
    <row r="673" spans="17:18" x14ac:dyDescent="0.25">
      <c r="Q673" s="172">
        <v>166.25</v>
      </c>
      <c r="R673" s="173">
        <v>4.7E-2</v>
      </c>
    </row>
    <row r="674" spans="17:18" x14ac:dyDescent="0.25">
      <c r="Q674" s="172">
        <v>166.5</v>
      </c>
      <c r="R674" s="173">
        <v>4.7E-2</v>
      </c>
    </row>
    <row r="675" spans="17:18" x14ac:dyDescent="0.25">
      <c r="Q675" s="172">
        <v>166.67</v>
      </c>
      <c r="R675" s="173">
        <v>4.7E-2</v>
      </c>
    </row>
    <row r="676" spans="17:18" x14ac:dyDescent="0.25">
      <c r="Q676" s="172">
        <v>167</v>
      </c>
      <c r="R676" s="173">
        <v>4.7E-2</v>
      </c>
    </row>
    <row r="677" spans="17:18" x14ac:dyDescent="0.25">
      <c r="Q677" s="172">
        <v>167.33</v>
      </c>
      <c r="R677" s="173">
        <v>4.7E-2</v>
      </c>
    </row>
    <row r="678" spans="17:18" x14ac:dyDescent="0.25">
      <c r="Q678" s="172">
        <v>167.5</v>
      </c>
      <c r="R678" s="173">
        <v>4.7E-2</v>
      </c>
    </row>
    <row r="679" spans="17:18" x14ac:dyDescent="0.25">
      <c r="Q679" s="172">
        <v>167.67</v>
      </c>
      <c r="R679" s="173">
        <v>4.7E-2</v>
      </c>
    </row>
    <row r="680" spans="17:18" x14ac:dyDescent="0.25">
      <c r="Q680" s="172">
        <v>168</v>
      </c>
      <c r="R680" s="173">
        <v>4.7E-2</v>
      </c>
    </row>
    <row r="681" spans="17:18" x14ac:dyDescent="0.25">
      <c r="Q681" s="172">
        <v>168.33</v>
      </c>
      <c r="R681" s="173">
        <v>4.7E-2</v>
      </c>
    </row>
    <row r="682" spans="17:18" x14ac:dyDescent="0.25">
      <c r="Q682" s="172">
        <v>168.5</v>
      </c>
      <c r="R682" s="173">
        <v>4.7E-2</v>
      </c>
    </row>
    <row r="683" spans="17:18" x14ac:dyDescent="0.25">
      <c r="Q683" s="172">
        <v>168.67</v>
      </c>
      <c r="R683" s="173">
        <v>4.7E-2</v>
      </c>
    </row>
    <row r="684" spans="17:18" x14ac:dyDescent="0.25">
      <c r="Q684" s="172">
        <v>169</v>
      </c>
      <c r="R684" s="173">
        <v>4.7E-2</v>
      </c>
    </row>
    <row r="685" spans="17:18" x14ac:dyDescent="0.25">
      <c r="Q685" s="172">
        <v>169.33</v>
      </c>
      <c r="R685" s="173">
        <v>4.5999999999999999E-2</v>
      </c>
    </row>
    <row r="686" spans="17:18" x14ac:dyDescent="0.25">
      <c r="Q686" s="172">
        <v>169.5</v>
      </c>
      <c r="R686" s="173">
        <v>4.5999999999999999E-2</v>
      </c>
    </row>
    <row r="687" spans="17:18" x14ac:dyDescent="0.25">
      <c r="Q687" s="172">
        <v>169.67</v>
      </c>
      <c r="R687" s="173">
        <v>4.5999999999999999E-2</v>
      </c>
    </row>
    <row r="688" spans="17:18" x14ac:dyDescent="0.25">
      <c r="Q688" s="172">
        <v>170</v>
      </c>
      <c r="R688" s="173">
        <v>4.5999999999999999E-2</v>
      </c>
    </row>
    <row r="689" spans="17:18" x14ac:dyDescent="0.25">
      <c r="Q689" s="172">
        <v>170.33</v>
      </c>
      <c r="R689" s="173">
        <v>4.5999999999999999E-2</v>
      </c>
    </row>
    <row r="690" spans="17:18" x14ac:dyDescent="0.25">
      <c r="Q690" s="172">
        <v>170.5</v>
      </c>
      <c r="R690" s="173">
        <v>4.5999999999999999E-2</v>
      </c>
    </row>
    <row r="691" spans="17:18" x14ac:dyDescent="0.25">
      <c r="Q691" s="172">
        <v>170.67</v>
      </c>
      <c r="R691" s="173">
        <v>4.5999999999999999E-2</v>
      </c>
    </row>
    <row r="692" spans="17:18" x14ac:dyDescent="0.25">
      <c r="Q692" s="172">
        <v>171</v>
      </c>
      <c r="R692" s="173">
        <v>4.5999999999999999E-2</v>
      </c>
    </row>
    <row r="693" spans="17:18" x14ac:dyDescent="0.25">
      <c r="Q693" s="172">
        <v>171.33</v>
      </c>
      <c r="R693" s="173">
        <v>4.5999999999999999E-2</v>
      </c>
    </row>
    <row r="694" spans="17:18" x14ac:dyDescent="0.25">
      <c r="Q694" s="172">
        <v>171.5</v>
      </c>
      <c r="R694" s="173">
        <v>4.5999999999999999E-2</v>
      </c>
    </row>
    <row r="695" spans="17:18" x14ac:dyDescent="0.25">
      <c r="Q695" s="172">
        <v>171.67</v>
      </c>
      <c r="R695" s="173">
        <v>4.5999999999999999E-2</v>
      </c>
    </row>
    <row r="696" spans="17:18" x14ac:dyDescent="0.25">
      <c r="Q696" s="172">
        <v>172</v>
      </c>
      <c r="R696" s="173">
        <v>4.5999999999999999E-2</v>
      </c>
    </row>
    <row r="697" spans="17:18" x14ac:dyDescent="0.25">
      <c r="Q697" s="172">
        <v>172.33</v>
      </c>
      <c r="R697" s="173">
        <v>4.5999999999999999E-2</v>
      </c>
    </row>
    <row r="698" spans="17:18" x14ac:dyDescent="0.25">
      <c r="Q698" s="172">
        <v>172.5</v>
      </c>
      <c r="R698" s="173">
        <v>4.5999999999999999E-2</v>
      </c>
    </row>
    <row r="699" spans="17:18" x14ac:dyDescent="0.25">
      <c r="Q699" s="172">
        <v>172.67</v>
      </c>
      <c r="R699" s="173">
        <v>4.5999999999999999E-2</v>
      </c>
    </row>
    <row r="700" spans="17:18" x14ac:dyDescent="0.25">
      <c r="Q700" s="172">
        <v>173</v>
      </c>
      <c r="R700" s="173">
        <v>4.5999999999999999E-2</v>
      </c>
    </row>
    <row r="701" spans="17:18" x14ac:dyDescent="0.25">
      <c r="Q701" s="172">
        <v>173.33</v>
      </c>
      <c r="R701" s="173">
        <v>4.5999999999999999E-2</v>
      </c>
    </row>
    <row r="702" spans="17:18" x14ac:dyDescent="0.25">
      <c r="Q702" s="172">
        <v>173.5</v>
      </c>
      <c r="R702" s="173">
        <v>4.5999999999999999E-2</v>
      </c>
    </row>
    <row r="703" spans="17:18" x14ac:dyDescent="0.25">
      <c r="Q703" s="172">
        <v>173.67</v>
      </c>
      <c r="R703" s="173">
        <v>4.5999999999999999E-2</v>
      </c>
    </row>
    <row r="704" spans="17:18" x14ac:dyDescent="0.25">
      <c r="Q704" s="172">
        <v>174</v>
      </c>
      <c r="R704" s="173">
        <v>4.5999999999999999E-2</v>
      </c>
    </row>
    <row r="705" spans="17:18" x14ac:dyDescent="0.25">
      <c r="Q705" s="172">
        <v>174.33</v>
      </c>
      <c r="R705" s="173">
        <v>4.5999999999999999E-2</v>
      </c>
    </row>
    <row r="706" spans="17:18" x14ac:dyDescent="0.25">
      <c r="Q706" s="172">
        <v>174.5</v>
      </c>
      <c r="R706" s="173">
        <v>4.5999999999999999E-2</v>
      </c>
    </row>
    <row r="707" spans="17:18" x14ac:dyDescent="0.25">
      <c r="Q707" s="172">
        <v>174.67</v>
      </c>
      <c r="R707" s="173">
        <v>4.5999999999999999E-2</v>
      </c>
    </row>
    <row r="708" spans="17:18" x14ac:dyDescent="0.25">
      <c r="Q708" s="172">
        <v>175</v>
      </c>
      <c r="R708" s="173">
        <v>4.5999999999999999E-2</v>
      </c>
    </row>
    <row r="709" spans="17:18" x14ac:dyDescent="0.25">
      <c r="Q709" s="172">
        <v>175.33</v>
      </c>
      <c r="R709" s="173">
        <v>4.5999999999999999E-2</v>
      </c>
    </row>
    <row r="710" spans="17:18" x14ac:dyDescent="0.25">
      <c r="Q710" s="172">
        <v>175.5</v>
      </c>
      <c r="R710" s="173">
        <v>4.5999999999999999E-2</v>
      </c>
    </row>
    <row r="711" spans="17:18" x14ac:dyDescent="0.25">
      <c r="Q711" s="172">
        <v>175.67</v>
      </c>
      <c r="R711" s="173">
        <v>4.5999999999999999E-2</v>
      </c>
    </row>
    <row r="712" spans="17:18" x14ac:dyDescent="0.25">
      <c r="Q712" s="172">
        <v>176</v>
      </c>
      <c r="R712" s="173">
        <v>4.5999999999999999E-2</v>
      </c>
    </row>
    <row r="713" spans="17:18" x14ac:dyDescent="0.25">
      <c r="Q713" s="172">
        <v>176.33</v>
      </c>
      <c r="R713" s="173">
        <v>4.5999999999999999E-2</v>
      </c>
    </row>
    <row r="714" spans="17:18" x14ac:dyDescent="0.25">
      <c r="Q714" s="172">
        <v>176.5</v>
      </c>
      <c r="R714" s="173">
        <v>4.5999999999999999E-2</v>
      </c>
    </row>
    <row r="715" spans="17:18" x14ac:dyDescent="0.25">
      <c r="Q715" s="172">
        <v>176.67</v>
      </c>
      <c r="R715" s="173">
        <v>4.5999999999999999E-2</v>
      </c>
    </row>
    <row r="716" spans="17:18" x14ac:dyDescent="0.25">
      <c r="Q716" s="172">
        <v>177</v>
      </c>
      <c r="R716" s="173">
        <v>4.5999999999999999E-2</v>
      </c>
    </row>
    <row r="717" spans="17:18" x14ac:dyDescent="0.25">
      <c r="Q717" s="172">
        <v>177.33</v>
      </c>
      <c r="R717" s="173">
        <v>4.5999999999999999E-2</v>
      </c>
    </row>
    <row r="718" spans="17:18" x14ac:dyDescent="0.25">
      <c r="Q718" s="172">
        <v>177.5</v>
      </c>
      <c r="R718" s="173">
        <v>4.5999999999999999E-2</v>
      </c>
    </row>
    <row r="719" spans="17:18" x14ac:dyDescent="0.25">
      <c r="Q719" s="172">
        <v>177.67</v>
      </c>
      <c r="R719" s="173">
        <v>4.5999999999999999E-2</v>
      </c>
    </row>
    <row r="720" spans="17:18" x14ac:dyDescent="0.25">
      <c r="Q720" s="172">
        <v>178</v>
      </c>
      <c r="R720" s="173">
        <v>4.5999999999999999E-2</v>
      </c>
    </row>
    <row r="721" spans="17:18" x14ac:dyDescent="0.25">
      <c r="Q721" s="172">
        <v>178.33</v>
      </c>
      <c r="R721" s="173">
        <v>4.5999999999999999E-2</v>
      </c>
    </row>
    <row r="722" spans="17:18" x14ac:dyDescent="0.25">
      <c r="Q722" s="172">
        <v>178.5</v>
      </c>
      <c r="R722" s="173">
        <v>4.5999999999999999E-2</v>
      </c>
    </row>
    <row r="723" spans="17:18" x14ac:dyDescent="0.25">
      <c r="Q723" s="172">
        <v>178.67</v>
      </c>
      <c r="R723" s="173">
        <v>4.5999999999999999E-2</v>
      </c>
    </row>
    <row r="724" spans="17:18" x14ac:dyDescent="0.25">
      <c r="Q724" s="172">
        <v>179</v>
      </c>
      <c r="R724" s="173">
        <v>4.5999999999999999E-2</v>
      </c>
    </row>
    <row r="725" spans="17:18" x14ac:dyDescent="0.25">
      <c r="Q725" s="172">
        <v>179.33</v>
      </c>
      <c r="R725" s="173">
        <v>4.5999999999999999E-2</v>
      </c>
    </row>
    <row r="726" spans="17:18" x14ac:dyDescent="0.25">
      <c r="Q726" s="172">
        <v>179.5</v>
      </c>
      <c r="R726" s="173">
        <v>4.5999999999999999E-2</v>
      </c>
    </row>
    <row r="727" spans="17:18" x14ac:dyDescent="0.25">
      <c r="Q727" s="172">
        <v>179.67</v>
      </c>
      <c r="R727" s="173">
        <v>4.5999999999999999E-2</v>
      </c>
    </row>
    <row r="728" spans="17:18" x14ac:dyDescent="0.25">
      <c r="Q728" s="172">
        <v>180</v>
      </c>
      <c r="R728" s="173">
        <v>4.5999999999999999E-2</v>
      </c>
    </row>
    <row r="729" spans="17:18" x14ac:dyDescent="0.25">
      <c r="Q729" s="172">
        <v>180.33</v>
      </c>
      <c r="R729" s="173">
        <v>4.5999999999999999E-2</v>
      </c>
    </row>
    <row r="730" spans="17:18" x14ac:dyDescent="0.25">
      <c r="Q730" s="172">
        <v>180.5</v>
      </c>
      <c r="R730" s="173">
        <v>4.5999999999999999E-2</v>
      </c>
    </row>
    <row r="731" spans="17:18" x14ac:dyDescent="0.25">
      <c r="Q731" s="172">
        <v>180.67</v>
      </c>
      <c r="R731" s="173">
        <v>4.5999999999999999E-2</v>
      </c>
    </row>
    <row r="732" spans="17:18" x14ac:dyDescent="0.25">
      <c r="Q732" s="172">
        <v>181</v>
      </c>
      <c r="R732" s="173">
        <v>4.5999999999999999E-2</v>
      </c>
    </row>
    <row r="733" spans="17:18" x14ac:dyDescent="0.25">
      <c r="Q733" s="172">
        <v>181.33</v>
      </c>
      <c r="R733" s="173">
        <v>4.5999999999999999E-2</v>
      </c>
    </row>
    <row r="734" spans="17:18" x14ac:dyDescent="0.25">
      <c r="Q734" s="172">
        <v>181.5</v>
      </c>
      <c r="R734" s="173">
        <v>4.5999999999999999E-2</v>
      </c>
    </row>
    <row r="735" spans="17:18" x14ac:dyDescent="0.25">
      <c r="Q735" s="172">
        <v>181.67</v>
      </c>
      <c r="R735" s="173">
        <v>4.5999999999999999E-2</v>
      </c>
    </row>
    <row r="736" spans="17:18" x14ac:dyDescent="0.25">
      <c r="Q736" s="172">
        <v>182</v>
      </c>
      <c r="R736" s="173">
        <v>4.5999999999999999E-2</v>
      </c>
    </row>
    <row r="737" spans="17:18" x14ac:dyDescent="0.25">
      <c r="Q737" s="172">
        <v>182.33</v>
      </c>
      <c r="R737" s="173">
        <v>4.5999999999999999E-2</v>
      </c>
    </row>
    <row r="738" spans="17:18" x14ac:dyDescent="0.25">
      <c r="Q738" s="172">
        <v>182.5</v>
      </c>
      <c r="R738" s="173">
        <v>4.5999999999999999E-2</v>
      </c>
    </row>
    <row r="739" spans="17:18" x14ac:dyDescent="0.25">
      <c r="Q739" s="172">
        <v>182.67</v>
      </c>
      <c r="R739" s="173">
        <v>4.5999999999999999E-2</v>
      </c>
    </row>
    <row r="740" spans="17:18" x14ac:dyDescent="0.25">
      <c r="Q740" s="172">
        <v>183</v>
      </c>
      <c r="R740" s="173">
        <v>4.5999999999999999E-2</v>
      </c>
    </row>
    <row r="741" spans="17:18" x14ac:dyDescent="0.25">
      <c r="Q741" s="172">
        <v>183.33</v>
      </c>
      <c r="R741" s="173">
        <v>4.5999999999999999E-2</v>
      </c>
    </row>
    <row r="742" spans="17:18" x14ac:dyDescent="0.25">
      <c r="Q742" s="172">
        <v>183.5</v>
      </c>
      <c r="R742" s="173">
        <v>4.5999999999999999E-2</v>
      </c>
    </row>
    <row r="743" spans="17:18" x14ac:dyDescent="0.25">
      <c r="Q743" s="172">
        <v>183.67</v>
      </c>
      <c r="R743" s="173">
        <v>4.5999999999999999E-2</v>
      </c>
    </row>
    <row r="744" spans="17:18" x14ac:dyDescent="0.25">
      <c r="Q744" s="172">
        <v>184</v>
      </c>
      <c r="R744" s="173">
        <v>4.7E-2</v>
      </c>
    </row>
    <row r="745" spans="17:18" x14ac:dyDescent="0.25">
      <c r="Q745" s="172">
        <v>184.33</v>
      </c>
      <c r="R745" s="173">
        <v>4.7E-2</v>
      </c>
    </row>
    <row r="746" spans="17:18" x14ac:dyDescent="0.25">
      <c r="Q746" s="172">
        <v>184.5</v>
      </c>
      <c r="R746" s="173">
        <v>4.7E-2</v>
      </c>
    </row>
    <row r="747" spans="17:18" x14ac:dyDescent="0.25">
      <c r="Q747" s="172">
        <v>184.67</v>
      </c>
      <c r="R747" s="173">
        <v>4.7E-2</v>
      </c>
    </row>
    <row r="748" spans="17:18" x14ac:dyDescent="0.25">
      <c r="Q748" s="172">
        <v>185</v>
      </c>
      <c r="R748" s="173">
        <v>4.7E-2</v>
      </c>
    </row>
    <row r="749" spans="17:18" x14ac:dyDescent="0.25">
      <c r="Q749" s="172">
        <v>185.33</v>
      </c>
      <c r="R749" s="173">
        <v>4.7E-2</v>
      </c>
    </row>
    <row r="750" spans="17:18" x14ac:dyDescent="0.25">
      <c r="Q750" s="172">
        <v>185.5</v>
      </c>
      <c r="R750" s="173">
        <v>4.7E-2</v>
      </c>
    </row>
    <row r="751" spans="17:18" x14ac:dyDescent="0.25">
      <c r="Q751" s="172">
        <v>185.67</v>
      </c>
      <c r="R751" s="173">
        <v>4.7E-2</v>
      </c>
    </row>
    <row r="752" spans="17:18" x14ac:dyDescent="0.25">
      <c r="Q752" s="172">
        <v>186</v>
      </c>
      <c r="R752" s="173">
        <v>4.5999999999999999E-2</v>
      </c>
    </row>
    <row r="753" spans="17:18" x14ac:dyDescent="0.25">
      <c r="Q753" s="172">
        <v>186.33</v>
      </c>
      <c r="R753" s="173">
        <v>4.5999999999999999E-2</v>
      </c>
    </row>
    <row r="754" spans="17:18" x14ac:dyDescent="0.25">
      <c r="Q754" s="172">
        <v>186.5</v>
      </c>
      <c r="R754" s="173">
        <v>4.5999999999999999E-2</v>
      </c>
    </row>
    <row r="755" spans="17:18" x14ac:dyDescent="0.25">
      <c r="Q755" s="172">
        <v>186.67</v>
      </c>
      <c r="R755" s="173">
        <v>4.4999999999999998E-2</v>
      </c>
    </row>
    <row r="756" spans="17:18" x14ac:dyDescent="0.25">
      <c r="Q756" s="172">
        <v>187</v>
      </c>
      <c r="R756" s="173">
        <v>4.4999999999999998E-2</v>
      </c>
    </row>
    <row r="757" spans="17:18" x14ac:dyDescent="0.25">
      <c r="Q757" s="172">
        <v>187.33</v>
      </c>
      <c r="R757" s="173">
        <v>4.4999999999999998E-2</v>
      </c>
    </row>
    <row r="758" spans="17:18" x14ac:dyDescent="0.25">
      <c r="Q758" s="172">
        <v>187.5</v>
      </c>
      <c r="R758" s="173">
        <v>4.4999999999999998E-2</v>
      </c>
    </row>
    <row r="759" spans="17:18" x14ac:dyDescent="0.25">
      <c r="Q759" s="172">
        <v>187.67</v>
      </c>
      <c r="R759" s="173">
        <v>4.4999999999999998E-2</v>
      </c>
    </row>
    <row r="760" spans="17:18" x14ac:dyDescent="0.25">
      <c r="Q760" s="172">
        <v>188</v>
      </c>
      <c r="R760" s="173">
        <v>5.1999999999999998E-2</v>
      </c>
    </row>
    <row r="761" spans="17:18" x14ac:dyDescent="0.25">
      <c r="Q761" s="172">
        <v>188.33</v>
      </c>
      <c r="R761" s="173">
        <v>4.7E-2</v>
      </c>
    </row>
    <row r="762" spans="17:18" x14ac:dyDescent="0.25">
      <c r="Q762" s="172">
        <v>188.5</v>
      </c>
      <c r="R762" s="173">
        <v>4.8000000000000001E-2</v>
      </c>
    </row>
    <row r="763" spans="17:18" x14ac:dyDescent="0.25">
      <c r="Q763" s="172">
        <v>188.67</v>
      </c>
      <c r="R763" s="173">
        <v>4.8000000000000001E-2</v>
      </c>
    </row>
    <row r="764" spans="17:18" x14ac:dyDescent="0.25">
      <c r="Q764" s="172">
        <v>189</v>
      </c>
      <c r="R764" s="173">
        <v>4.4999999999999998E-2</v>
      </c>
    </row>
    <row r="765" spans="17:18" x14ac:dyDescent="0.25">
      <c r="Q765" s="172">
        <v>189.33</v>
      </c>
      <c r="R765" s="173">
        <v>4.4999999999999998E-2</v>
      </c>
    </row>
    <row r="766" spans="17:18" x14ac:dyDescent="0.25">
      <c r="Q766" s="172">
        <v>189.5</v>
      </c>
      <c r="R766" s="173">
        <v>4.5999999999999999E-2</v>
      </c>
    </row>
    <row r="767" spans="17:18" x14ac:dyDescent="0.25">
      <c r="Q767" s="172">
        <v>189.67</v>
      </c>
      <c r="R767" s="173">
        <v>4.7E-2</v>
      </c>
    </row>
    <row r="768" spans="17:18" x14ac:dyDescent="0.25">
      <c r="Q768" s="172">
        <v>190</v>
      </c>
      <c r="R768" s="173">
        <v>4.7E-2</v>
      </c>
    </row>
    <row r="769" spans="17:18" x14ac:dyDescent="0.25">
      <c r="Q769" s="172">
        <v>190.33</v>
      </c>
      <c r="R769" s="173">
        <v>4.8000000000000001E-2</v>
      </c>
    </row>
    <row r="770" spans="17:18" x14ac:dyDescent="0.25">
      <c r="Q770" s="172">
        <v>190.5</v>
      </c>
      <c r="R770" s="173">
        <v>4.8000000000000001E-2</v>
      </c>
    </row>
    <row r="771" spans="17:18" x14ac:dyDescent="0.25">
      <c r="Q771" s="172">
        <v>190.67</v>
      </c>
      <c r="R771" s="173">
        <v>4.9000000000000002E-2</v>
      </c>
    </row>
    <row r="772" spans="17:18" x14ac:dyDescent="0.25">
      <c r="Q772" s="172">
        <v>191</v>
      </c>
      <c r="R772" s="173">
        <v>4.9000000000000002E-2</v>
      </c>
    </row>
    <row r="773" spans="17:18" x14ac:dyDescent="0.25">
      <c r="Q773" s="172">
        <v>191.33</v>
      </c>
      <c r="R773" s="173">
        <v>0.05</v>
      </c>
    </row>
    <row r="774" spans="17:18" x14ac:dyDescent="0.25">
      <c r="Q774" s="172">
        <v>191.5</v>
      </c>
      <c r="R774" s="173">
        <v>5.0999999999999997E-2</v>
      </c>
    </row>
    <row r="775" spans="17:18" x14ac:dyDescent="0.25">
      <c r="Q775" s="172">
        <v>191.67</v>
      </c>
      <c r="R775" s="173">
        <v>5.1999999999999998E-2</v>
      </c>
    </row>
    <row r="776" spans="17:18" x14ac:dyDescent="0.25">
      <c r="Q776" s="172">
        <v>192</v>
      </c>
      <c r="R776" s="173">
        <v>4.9000000000000002E-2</v>
      </c>
    </row>
    <row r="777" spans="17:18" x14ac:dyDescent="0.25">
      <c r="Q777" s="172">
        <v>192.33</v>
      </c>
      <c r="R777" s="173">
        <v>4.5999999999999999E-2</v>
      </c>
    </row>
    <row r="778" spans="17:18" x14ac:dyDescent="0.25">
      <c r="Q778" s="172">
        <v>192.5</v>
      </c>
      <c r="R778" s="173">
        <v>4.7E-2</v>
      </c>
    </row>
    <row r="779" spans="17:18" x14ac:dyDescent="0.25">
      <c r="Q779" s="172">
        <v>192.67</v>
      </c>
      <c r="R779" s="173">
        <v>4.7E-2</v>
      </c>
    </row>
    <row r="780" spans="17:18" x14ac:dyDescent="0.25">
      <c r="Q780" s="172">
        <v>193</v>
      </c>
      <c r="R780" s="173">
        <v>4.5999999999999999E-2</v>
      </c>
    </row>
    <row r="781" spans="17:18" x14ac:dyDescent="0.25">
      <c r="Q781" s="172">
        <v>193.33</v>
      </c>
      <c r="R781" s="173">
        <v>4.7E-2</v>
      </c>
    </row>
    <row r="782" spans="17:18" x14ac:dyDescent="0.25">
      <c r="Q782" s="172">
        <v>193.5</v>
      </c>
      <c r="R782" s="173">
        <v>4.7E-2</v>
      </c>
    </row>
    <row r="783" spans="17:18" x14ac:dyDescent="0.25">
      <c r="Q783" s="172">
        <v>193.67</v>
      </c>
      <c r="R783" s="173">
        <v>4.7E-2</v>
      </c>
    </row>
    <row r="784" spans="17:18" x14ac:dyDescent="0.25">
      <c r="Q784" s="172">
        <v>194</v>
      </c>
      <c r="R784" s="173">
        <v>4.7E-2</v>
      </c>
    </row>
    <row r="785" spans="17:18" x14ac:dyDescent="0.25">
      <c r="Q785" s="172">
        <v>194.33</v>
      </c>
      <c r="R785" s="173">
        <v>4.5999999999999999E-2</v>
      </c>
    </row>
    <row r="786" spans="17:18" x14ac:dyDescent="0.25">
      <c r="Q786" s="172">
        <v>194.5</v>
      </c>
      <c r="R786" s="173">
        <v>4.7E-2</v>
      </c>
    </row>
    <row r="787" spans="17:18" x14ac:dyDescent="0.25">
      <c r="Q787" s="172">
        <v>194.67</v>
      </c>
      <c r="R787" s="173">
        <v>4.7E-2</v>
      </c>
    </row>
    <row r="788" spans="17:18" x14ac:dyDescent="0.25">
      <c r="Q788" s="172">
        <v>195</v>
      </c>
      <c r="R788" s="173">
        <v>4.7E-2</v>
      </c>
    </row>
    <row r="789" spans="17:18" x14ac:dyDescent="0.25">
      <c r="Q789" s="172">
        <v>195.33</v>
      </c>
      <c r="R789" s="173">
        <v>4.7E-2</v>
      </c>
    </row>
    <row r="790" spans="17:18" x14ac:dyDescent="0.25">
      <c r="Q790" s="172">
        <v>195.5</v>
      </c>
      <c r="R790" s="173">
        <v>4.7E-2</v>
      </c>
    </row>
    <row r="791" spans="17:18" x14ac:dyDescent="0.25">
      <c r="Q791" s="172">
        <v>195.67</v>
      </c>
      <c r="R791" s="173">
        <v>4.7E-2</v>
      </c>
    </row>
    <row r="792" spans="17:18" x14ac:dyDescent="0.25">
      <c r="Q792" s="172">
        <v>196</v>
      </c>
      <c r="R792" s="173">
        <v>4.7E-2</v>
      </c>
    </row>
    <row r="793" spans="17:18" x14ac:dyDescent="0.25">
      <c r="Q793" s="172">
        <v>196.33</v>
      </c>
      <c r="R793" s="173">
        <v>4.7E-2</v>
      </c>
    </row>
    <row r="794" spans="17:18" x14ac:dyDescent="0.25">
      <c r="Q794" s="172">
        <v>196.5</v>
      </c>
      <c r="R794" s="173">
        <v>4.5999999999999999E-2</v>
      </c>
    </row>
    <row r="795" spans="17:18" x14ac:dyDescent="0.25">
      <c r="Q795" s="172">
        <v>196.67</v>
      </c>
      <c r="R795" s="173">
        <v>4.5999999999999999E-2</v>
      </c>
    </row>
    <row r="796" spans="17:18" x14ac:dyDescent="0.25">
      <c r="Q796" s="172">
        <v>197</v>
      </c>
      <c r="R796" s="173">
        <v>4.7E-2</v>
      </c>
    </row>
    <row r="797" spans="17:18" x14ac:dyDescent="0.25">
      <c r="Q797" s="172">
        <v>197.33</v>
      </c>
      <c r="R797" s="173">
        <v>4.5999999999999999E-2</v>
      </c>
    </row>
    <row r="798" spans="17:18" x14ac:dyDescent="0.25">
      <c r="Q798" s="172">
        <v>197.5</v>
      </c>
      <c r="R798" s="173">
        <v>4.7E-2</v>
      </c>
    </row>
    <row r="799" spans="17:18" x14ac:dyDescent="0.25">
      <c r="Q799" s="172">
        <v>197.67</v>
      </c>
      <c r="R799" s="173">
        <v>4.7E-2</v>
      </c>
    </row>
    <row r="800" spans="17:18" x14ac:dyDescent="0.25">
      <c r="Q800" s="172">
        <v>198</v>
      </c>
      <c r="R800" s="173">
        <v>4.5999999999999999E-2</v>
      </c>
    </row>
    <row r="801" spans="17:18" x14ac:dyDescent="0.25">
      <c r="Q801" s="172">
        <v>198.33</v>
      </c>
      <c r="R801" s="173">
        <v>4.7E-2</v>
      </c>
    </row>
    <row r="802" spans="17:18" x14ac:dyDescent="0.25">
      <c r="Q802" s="172">
        <v>198.5</v>
      </c>
      <c r="R802" s="173">
        <v>4.7E-2</v>
      </c>
    </row>
    <row r="803" spans="17:18" x14ac:dyDescent="0.25">
      <c r="Q803" s="172">
        <v>198.67</v>
      </c>
      <c r="R803" s="173">
        <v>4.7E-2</v>
      </c>
    </row>
    <row r="804" spans="17:18" x14ac:dyDescent="0.25">
      <c r="Q804" s="172">
        <v>199</v>
      </c>
      <c r="R804" s="173">
        <v>4.7E-2</v>
      </c>
    </row>
    <row r="805" spans="17:18" x14ac:dyDescent="0.25">
      <c r="Q805" s="172">
        <v>199.33</v>
      </c>
      <c r="R805" s="173">
        <v>4.7E-2</v>
      </c>
    </row>
    <row r="806" spans="17:18" x14ac:dyDescent="0.25">
      <c r="Q806" s="172">
        <v>199.5</v>
      </c>
      <c r="R806" s="173">
        <v>4.7E-2</v>
      </c>
    </row>
    <row r="807" spans="17:18" x14ac:dyDescent="0.25">
      <c r="Q807" s="172">
        <v>199.67</v>
      </c>
      <c r="R807" s="173">
        <v>4.7E-2</v>
      </c>
    </row>
    <row r="808" spans="17:18" x14ac:dyDescent="0.25">
      <c r="Q808" s="172">
        <v>200</v>
      </c>
      <c r="R808" s="173">
        <v>4.7E-2</v>
      </c>
    </row>
    <row r="809" spans="17:18" x14ac:dyDescent="0.25">
      <c r="Q809" s="172">
        <v>200.33</v>
      </c>
      <c r="R809" s="173">
        <v>4.7E-2</v>
      </c>
    </row>
    <row r="810" spans="17:18" x14ac:dyDescent="0.25">
      <c r="Q810" s="172">
        <v>200.5</v>
      </c>
      <c r="R810" s="173">
        <v>4.7E-2</v>
      </c>
    </row>
    <row r="811" spans="17:18" x14ac:dyDescent="0.25">
      <c r="Q811" s="172">
        <v>200.67</v>
      </c>
      <c r="R811" s="173">
        <v>4.7E-2</v>
      </c>
    </row>
    <row r="812" spans="17:18" x14ac:dyDescent="0.25">
      <c r="Q812" s="172">
        <v>201</v>
      </c>
      <c r="R812" s="173">
        <v>4.7E-2</v>
      </c>
    </row>
    <row r="813" spans="17:18" x14ac:dyDescent="0.25">
      <c r="Q813" s="172">
        <v>201.33</v>
      </c>
      <c r="R813" s="173">
        <v>4.7E-2</v>
      </c>
    </row>
    <row r="814" spans="17:18" x14ac:dyDescent="0.25">
      <c r="Q814" s="172">
        <v>201.5</v>
      </c>
      <c r="R814" s="173">
        <v>4.7E-2</v>
      </c>
    </row>
    <row r="815" spans="17:18" x14ac:dyDescent="0.25">
      <c r="Q815" s="172">
        <v>201.67</v>
      </c>
      <c r="R815" s="173">
        <v>4.7E-2</v>
      </c>
    </row>
    <row r="816" spans="17:18" x14ac:dyDescent="0.25">
      <c r="Q816" s="172">
        <v>202</v>
      </c>
      <c r="R816" s="173">
        <v>4.7E-2</v>
      </c>
    </row>
    <row r="817" spans="17:18" x14ac:dyDescent="0.25">
      <c r="Q817" s="172">
        <v>202.33</v>
      </c>
      <c r="R817" s="173">
        <v>4.7E-2</v>
      </c>
    </row>
    <row r="818" spans="17:18" x14ac:dyDescent="0.25">
      <c r="Q818" s="172">
        <v>202.5</v>
      </c>
      <c r="R818" s="173">
        <v>4.7E-2</v>
      </c>
    </row>
    <row r="819" spans="17:18" x14ac:dyDescent="0.25">
      <c r="Q819" s="172">
        <v>202.67</v>
      </c>
      <c r="R819" s="173">
        <v>4.7E-2</v>
      </c>
    </row>
    <row r="820" spans="17:18" x14ac:dyDescent="0.25">
      <c r="Q820" s="172">
        <v>203</v>
      </c>
      <c r="R820" s="173">
        <v>4.7E-2</v>
      </c>
    </row>
    <row r="821" spans="17:18" x14ac:dyDescent="0.25">
      <c r="Q821" s="172">
        <v>203.33</v>
      </c>
      <c r="R821" s="173">
        <v>4.7E-2</v>
      </c>
    </row>
    <row r="822" spans="17:18" x14ac:dyDescent="0.25">
      <c r="Q822" s="172">
        <v>203.5</v>
      </c>
      <c r="R822" s="173">
        <v>4.5999999999999999E-2</v>
      </c>
    </row>
    <row r="823" spans="17:18" x14ac:dyDescent="0.25">
      <c r="Q823" s="172">
        <v>203.67</v>
      </c>
      <c r="R823" s="173">
        <v>4.7E-2</v>
      </c>
    </row>
    <row r="824" spans="17:18" x14ac:dyDescent="0.25">
      <c r="Q824" s="172">
        <v>204</v>
      </c>
      <c r="R824" s="173">
        <v>4.5999999999999999E-2</v>
      </c>
    </row>
    <row r="825" spans="17:18" x14ac:dyDescent="0.25">
      <c r="Q825" s="172">
        <v>204.33</v>
      </c>
      <c r="R825" s="173">
        <v>4.7E-2</v>
      </c>
    </row>
    <row r="826" spans="17:18" x14ac:dyDescent="0.25">
      <c r="Q826" s="172">
        <v>204.5</v>
      </c>
      <c r="R826" s="173">
        <v>4.7E-2</v>
      </c>
    </row>
    <row r="827" spans="17:18" x14ac:dyDescent="0.25">
      <c r="Q827" s="172">
        <v>204.67</v>
      </c>
      <c r="R827" s="173">
        <v>4.5999999999999999E-2</v>
      </c>
    </row>
    <row r="828" spans="17:18" x14ac:dyDescent="0.25">
      <c r="Q828" s="172">
        <v>205</v>
      </c>
      <c r="R828" s="173">
        <v>4.7E-2</v>
      </c>
    </row>
    <row r="829" spans="17:18" x14ac:dyDescent="0.25">
      <c r="Q829" s="172">
        <v>205.33</v>
      </c>
      <c r="R829" s="173">
        <v>4.7E-2</v>
      </c>
    </row>
    <row r="830" spans="17:18" x14ac:dyDescent="0.25">
      <c r="Q830" s="172">
        <v>205.5</v>
      </c>
      <c r="R830" s="173">
        <v>4.7E-2</v>
      </c>
    </row>
    <row r="831" spans="17:18" x14ac:dyDescent="0.25">
      <c r="Q831" s="172">
        <v>205.67</v>
      </c>
      <c r="R831" s="173">
        <v>4.7E-2</v>
      </c>
    </row>
    <row r="832" spans="17:18" x14ac:dyDescent="0.25">
      <c r="Q832" s="172">
        <v>206</v>
      </c>
      <c r="R832" s="173">
        <v>4.7E-2</v>
      </c>
    </row>
    <row r="833" spans="17:18" x14ac:dyDescent="0.25">
      <c r="Q833" s="172">
        <v>206.33</v>
      </c>
      <c r="R833" s="173">
        <v>4.7E-2</v>
      </c>
    </row>
    <row r="834" spans="17:18" x14ac:dyDescent="0.25">
      <c r="Q834" s="172">
        <v>206.5</v>
      </c>
      <c r="R834" s="173">
        <v>4.7E-2</v>
      </c>
    </row>
    <row r="835" spans="17:18" x14ac:dyDescent="0.25">
      <c r="Q835" s="172">
        <v>206.67</v>
      </c>
      <c r="R835" s="173">
        <v>4.7E-2</v>
      </c>
    </row>
    <row r="836" spans="17:18" x14ac:dyDescent="0.25">
      <c r="Q836" s="172">
        <v>207</v>
      </c>
      <c r="R836" s="173">
        <v>4.7E-2</v>
      </c>
    </row>
    <row r="837" spans="17:18" x14ac:dyDescent="0.25">
      <c r="Q837" s="172">
        <v>207.33</v>
      </c>
      <c r="R837" s="173">
        <v>4.7E-2</v>
      </c>
    </row>
    <row r="838" spans="17:18" x14ac:dyDescent="0.25">
      <c r="Q838" s="172">
        <v>207.5</v>
      </c>
      <c r="R838" s="173">
        <v>4.7E-2</v>
      </c>
    </row>
    <row r="839" spans="17:18" x14ac:dyDescent="0.25">
      <c r="Q839" s="172">
        <v>207.67</v>
      </c>
      <c r="R839" s="173">
        <v>4.7E-2</v>
      </c>
    </row>
    <row r="840" spans="17:18" x14ac:dyDescent="0.25">
      <c r="Q840" s="172">
        <v>208</v>
      </c>
      <c r="R840" s="173">
        <v>4.7E-2</v>
      </c>
    </row>
    <row r="841" spans="17:18" x14ac:dyDescent="0.25">
      <c r="Q841" s="172">
        <v>208.33</v>
      </c>
      <c r="R841" s="173">
        <v>4.7E-2</v>
      </c>
    </row>
    <row r="842" spans="17:18" x14ac:dyDescent="0.25">
      <c r="Q842" s="172">
        <v>208.5</v>
      </c>
      <c r="R842" s="173">
        <v>4.5999999999999999E-2</v>
      </c>
    </row>
    <row r="843" spans="17:18" x14ac:dyDescent="0.25">
      <c r="Q843" s="172">
        <v>208.67</v>
      </c>
      <c r="R843" s="173">
        <v>4.7E-2</v>
      </c>
    </row>
    <row r="844" spans="17:18" x14ac:dyDescent="0.25">
      <c r="Q844" s="172">
        <v>209</v>
      </c>
      <c r="R844" s="173">
        <v>4.7E-2</v>
      </c>
    </row>
    <row r="845" spans="17:18" x14ac:dyDescent="0.25">
      <c r="Q845" s="172">
        <v>209.33</v>
      </c>
      <c r="R845" s="173">
        <v>4.5999999999999999E-2</v>
      </c>
    </row>
    <row r="846" spans="17:18" x14ac:dyDescent="0.25">
      <c r="Q846" s="172">
        <v>209.5</v>
      </c>
      <c r="R846" s="173">
        <v>4.7E-2</v>
      </c>
    </row>
    <row r="847" spans="17:18" x14ac:dyDescent="0.25">
      <c r="Q847" s="172">
        <v>209.67</v>
      </c>
      <c r="R847" s="173">
        <v>4.7E-2</v>
      </c>
    </row>
    <row r="848" spans="17:18" x14ac:dyDescent="0.25">
      <c r="Q848" s="172">
        <v>210</v>
      </c>
      <c r="R848" s="173">
        <v>4.7E-2</v>
      </c>
    </row>
    <row r="849" spans="17:18" x14ac:dyDescent="0.25">
      <c r="Q849" s="172">
        <v>210.33</v>
      </c>
      <c r="R849" s="173">
        <v>4.7E-2</v>
      </c>
    </row>
    <row r="850" spans="17:18" x14ac:dyDescent="0.25">
      <c r="Q850" s="172">
        <v>210.5</v>
      </c>
      <c r="R850" s="173">
        <v>4.7E-2</v>
      </c>
    </row>
    <row r="851" spans="17:18" x14ac:dyDescent="0.25">
      <c r="Q851" s="172">
        <v>210.67</v>
      </c>
      <c r="R851" s="173">
        <v>4.7E-2</v>
      </c>
    </row>
    <row r="852" spans="17:18" x14ac:dyDescent="0.25">
      <c r="Q852" s="172">
        <v>211</v>
      </c>
      <c r="R852" s="173">
        <v>4.7E-2</v>
      </c>
    </row>
    <row r="853" spans="17:18" x14ac:dyDescent="0.25">
      <c r="Q853" s="172">
        <v>211.33</v>
      </c>
      <c r="R853" s="173">
        <v>4.7E-2</v>
      </c>
    </row>
    <row r="854" spans="17:18" x14ac:dyDescent="0.25">
      <c r="Q854" s="172">
        <v>211.5</v>
      </c>
      <c r="R854" s="173">
        <v>4.7E-2</v>
      </c>
    </row>
    <row r="855" spans="17:18" x14ac:dyDescent="0.25">
      <c r="Q855" s="172">
        <v>211.67</v>
      </c>
      <c r="R855" s="173">
        <v>4.7E-2</v>
      </c>
    </row>
    <row r="856" spans="17:18" x14ac:dyDescent="0.25">
      <c r="Q856" s="172">
        <v>212</v>
      </c>
      <c r="R856" s="173">
        <v>4.7E-2</v>
      </c>
    </row>
    <row r="857" spans="17:18" x14ac:dyDescent="0.25">
      <c r="Q857" s="172">
        <v>212.33</v>
      </c>
      <c r="R857" s="173">
        <v>4.7E-2</v>
      </c>
    </row>
    <row r="858" spans="17:18" x14ac:dyDescent="0.25">
      <c r="Q858" s="172">
        <v>212.5</v>
      </c>
      <c r="R858" s="173">
        <v>4.5999999999999999E-2</v>
      </c>
    </row>
    <row r="859" spans="17:18" x14ac:dyDescent="0.25">
      <c r="Q859" s="172">
        <v>212.67</v>
      </c>
      <c r="R859" s="173">
        <v>4.5999999999999999E-2</v>
      </c>
    </row>
    <row r="860" spans="17:18" x14ac:dyDescent="0.25">
      <c r="Q860" s="172">
        <v>213</v>
      </c>
      <c r="R860" s="173">
        <v>4.7E-2</v>
      </c>
    </row>
    <row r="861" spans="17:18" x14ac:dyDescent="0.25">
      <c r="Q861" s="172">
        <v>213.33</v>
      </c>
      <c r="R861" s="173">
        <v>4.7E-2</v>
      </c>
    </row>
    <row r="862" spans="17:18" x14ac:dyDescent="0.25">
      <c r="Q862" s="172">
        <v>213.5</v>
      </c>
      <c r="R862" s="173">
        <v>4.5999999999999999E-2</v>
      </c>
    </row>
    <row r="863" spans="17:18" x14ac:dyDescent="0.25">
      <c r="Q863" s="172">
        <v>213.67</v>
      </c>
      <c r="R863" s="173">
        <v>4.7E-2</v>
      </c>
    </row>
    <row r="864" spans="17:18" x14ac:dyDescent="0.25">
      <c r="Q864" s="172">
        <v>214</v>
      </c>
      <c r="R864" s="173">
        <v>4.7E-2</v>
      </c>
    </row>
    <row r="865" spans="17:18" x14ac:dyDescent="0.25">
      <c r="Q865" s="172">
        <v>214.33</v>
      </c>
      <c r="R865" s="173">
        <v>4.5999999999999999E-2</v>
      </c>
    </row>
    <row r="866" spans="17:18" x14ac:dyDescent="0.25">
      <c r="Q866" s="172">
        <v>214.5</v>
      </c>
      <c r="R866" s="173">
        <v>4.7E-2</v>
      </c>
    </row>
    <row r="867" spans="17:18" x14ac:dyDescent="0.25">
      <c r="Q867" s="172">
        <v>214.67</v>
      </c>
      <c r="R867" s="173">
        <v>4.7E-2</v>
      </c>
    </row>
    <row r="868" spans="17:18" x14ac:dyDescent="0.25">
      <c r="Q868" s="172">
        <v>215</v>
      </c>
      <c r="R868" s="173">
        <v>4.7E-2</v>
      </c>
    </row>
    <row r="869" spans="17:18" x14ac:dyDescent="0.25">
      <c r="Q869" s="172">
        <v>215.33</v>
      </c>
      <c r="R869" s="173">
        <v>4.7E-2</v>
      </c>
    </row>
    <row r="870" spans="17:18" x14ac:dyDescent="0.25">
      <c r="Q870" s="172">
        <v>215.5</v>
      </c>
      <c r="R870" s="173">
        <v>4.5999999999999999E-2</v>
      </c>
    </row>
    <row r="871" spans="17:18" x14ac:dyDescent="0.25">
      <c r="Q871" s="172">
        <v>215.67</v>
      </c>
      <c r="R871" s="173">
        <v>4.7E-2</v>
      </c>
    </row>
    <row r="872" spans="17:18" x14ac:dyDescent="0.25">
      <c r="Q872" s="172">
        <v>216</v>
      </c>
      <c r="R872" s="173">
        <v>4.5999999999999999E-2</v>
      </c>
    </row>
    <row r="873" spans="17:18" x14ac:dyDescent="0.25">
      <c r="Q873" s="172">
        <v>216.33</v>
      </c>
      <c r="R873" s="173">
        <v>4.7E-2</v>
      </c>
    </row>
    <row r="874" spans="17:18" x14ac:dyDescent="0.25">
      <c r="Q874" s="172">
        <v>216.5</v>
      </c>
      <c r="R874" s="173">
        <v>4.7E-2</v>
      </c>
    </row>
    <row r="875" spans="17:18" x14ac:dyDescent="0.25">
      <c r="Q875" s="172">
        <v>216.67</v>
      </c>
      <c r="R875" s="173">
        <v>4.7E-2</v>
      </c>
    </row>
    <row r="876" spans="17:18" x14ac:dyDescent="0.25">
      <c r="Q876" s="172">
        <v>217</v>
      </c>
      <c r="R876" s="173">
        <v>4.7E-2</v>
      </c>
    </row>
    <row r="877" spans="17:18" x14ac:dyDescent="0.25">
      <c r="Q877" s="172">
        <v>217.33</v>
      </c>
      <c r="R877" s="173">
        <v>4.7E-2</v>
      </c>
    </row>
    <row r="878" spans="17:18" x14ac:dyDescent="0.25">
      <c r="Q878" s="172">
        <v>217.5</v>
      </c>
      <c r="R878" s="173">
        <v>4.7E-2</v>
      </c>
    </row>
    <row r="879" spans="17:18" x14ac:dyDescent="0.25">
      <c r="Q879" s="172">
        <v>217.67</v>
      </c>
      <c r="R879" s="173">
        <v>4.7E-2</v>
      </c>
    </row>
    <row r="880" spans="17:18" x14ac:dyDescent="0.25">
      <c r="Q880" s="172">
        <v>218</v>
      </c>
      <c r="R880" s="173">
        <v>4.7E-2</v>
      </c>
    </row>
    <row r="881" spans="17:18" x14ac:dyDescent="0.25">
      <c r="Q881" s="172">
        <v>218.33</v>
      </c>
      <c r="R881" s="173">
        <v>4.7E-2</v>
      </c>
    </row>
    <row r="882" spans="17:18" x14ac:dyDescent="0.25">
      <c r="Q882" s="172">
        <v>218.5</v>
      </c>
      <c r="R882" s="173">
        <v>4.5999999999999999E-2</v>
      </c>
    </row>
    <row r="883" spans="17:18" x14ac:dyDescent="0.25">
      <c r="Q883" s="172">
        <v>218.67</v>
      </c>
      <c r="R883" s="173">
        <v>4.7E-2</v>
      </c>
    </row>
    <row r="884" spans="17:18" x14ac:dyDescent="0.25">
      <c r="Q884" s="172">
        <v>219</v>
      </c>
      <c r="R884" s="173">
        <v>4.7E-2</v>
      </c>
    </row>
    <row r="885" spans="17:18" x14ac:dyDescent="0.25">
      <c r="Q885" s="172">
        <v>219.33</v>
      </c>
      <c r="R885" s="173">
        <v>4.5999999999999999E-2</v>
      </c>
    </row>
    <row r="886" spans="17:18" x14ac:dyDescent="0.25">
      <c r="Q886" s="172">
        <v>219.5</v>
      </c>
      <c r="R886" s="173">
        <v>4.7E-2</v>
      </c>
    </row>
    <row r="887" spans="17:18" x14ac:dyDescent="0.25">
      <c r="Q887" s="172">
        <v>219.67</v>
      </c>
      <c r="R887" s="173">
        <v>4.7E-2</v>
      </c>
    </row>
    <row r="888" spans="17:18" x14ac:dyDescent="0.25">
      <c r="Q888" s="172">
        <v>220</v>
      </c>
      <c r="R888" s="173">
        <v>4.7E-2</v>
      </c>
    </row>
    <row r="889" spans="17:18" x14ac:dyDescent="0.25">
      <c r="Q889" s="172">
        <v>220.33</v>
      </c>
      <c r="R889" s="173">
        <v>4.7E-2</v>
      </c>
    </row>
    <row r="890" spans="17:18" x14ac:dyDescent="0.25">
      <c r="Q890" s="172">
        <v>220.5</v>
      </c>
      <c r="R890" s="173">
        <v>4.5999999999999999E-2</v>
      </c>
    </row>
    <row r="891" spans="17:18" x14ac:dyDescent="0.25">
      <c r="Q891" s="172">
        <v>220.67</v>
      </c>
      <c r="R891" s="173">
        <v>4.5999999999999999E-2</v>
      </c>
    </row>
    <row r="892" spans="17:18" x14ac:dyDescent="0.25">
      <c r="Q892" s="172">
        <v>221</v>
      </c>
      <c r="R892" s="173">
        <v>4.7E-2</v>
      </c>
    </row>
    <row r="893" spans="17:18" x14ac:dyDescent="0.25">
      <c r="Q893" s="172">
        <v>221.33</v>
      </c>
      <c r="R893" s="173">
        <v>4.7E-2</v>
      </c>
    </row>
    <row r="894" spans="17:18" x14ac:dyDescent="0.25">
      <c r="Q894" s="172">
        <v>221.5</v>
      </c>
      <c r="R894" s="173">
        <v>4.7E-2</v>
      </c>
    </row>
    <row r="895" spans="17:18" x14ac:dyDescent="0.25">
      <c r="Q895" s="172">
        <v>221.67</v>
      </c>
      <c r="R895" s="173">
        <v>4.7E-2</v>
      </c>
    </row>
    <row r="896" spans="17:18" x14ac:dyDescent="0.25">
      <c r="Q896" s="172">
        <v>222</v>
      </c>
      <c r="R896" s="173">
        <v>4.7E-2</v>
      </c>
    </row>
    <row r="897" spans="17:18" x14ac:dyDescent="0.25">
      <c r="Q897" s="172">
        <v>222.33</v>
      </c>
      <c r="R897" s="173">
        <v>4.7E-2</v>
      </c>
    </row>
    <row r="898" spans="17:18" x14ac:dyDescent="0.25">
      <c r="Q898" s="172">
        <v>222.5</v>
      </c>
      <c r="R898" s="173">
        <v>4.5999999999999999E-2</v>
      </c>
    </row>
    <row r="899" spans="17:18" x14ac:dyDescent="0.25">
      <c r="Q899" s="172">
        <v>222.67</v>
      </c>
      <c r="R899" s="173">
        <v>4.7E-2</v>
      </c>
    </row>
    <row r="900" spans="17:18" x14ac:dyDescent="0.25">
      <c r="Q900" s="172">
        <v>223</v>
      </c>
      <c r="R900" s="173">
        <v>4.7E-2</v>
      </c>
    </row>
    <row r="901" spans="17:18" x14ac:dyDescent="0.25">
      <c r="Q901" s="172">
        <v>223.33</v>
      </c>
      <c r="R901" s="173">
        <v>4.7E-2</v>
      </c>
    </row>
    <row r="902" spans="17:18" x14ac:dyDescent="0.25">
      <c r="Q902" s="172">
        <v>223.5</v>
      </c>
      <c r="R902" s="173">
        <v>4.7E-2</v>
      </c>
    </row>
    <row r="903" spans="17:18" x14ac:dyDescent="0.25">
      <c r="Q903" s="172">
        <v>223.67</v>
      </c>
      <c r="R903" s="173">
        <v>4.7E-2</v>
      </c>
    </row>
    <row r="904" spans="17:18" x14ac:dyDescent="0.25">
      <c r="Q904" s="172">
        <v>224</v>
      </c>
      <c r="R904" s="173">
        <v>4.7E-2</v>
      </c>
    </row>
    <row r="905" spans="17:18" x14ac:dyDescent="0.25">
      <c r="Q905" s="172">
        <v>224.33</v>
      </c>
      <c r="R905" s="173">
        <v>4.7E-2</v>
      </c>
    </row>
    <row r="906" spans="17:18" x14ac:dyDescent="0.25">
      <c r="Q906" s="172">
        <v>224.5</v>
      </c>
      <c r="R906" s="173">
        <v>4.7E-2</v>
      </c>
    </row>
    <row r="907" spans="17:18" x14ac:dyDescent="0.25">
      <c r="Q907" s="172">
        <v>224.67</v>
      </c>
      <c r="R907" s="173">
        <v>4.7E-2</v>
      </c>
    </row>
    <row r="908" spans="17:18" x14ac:dyDescent="0.25">
      <c r="Q908" s="172">
        <v>225</v>
      </c>
      <c r="R908" s="173">
        <v>4.7E-2</v>
      </c>
    </row>
    <row r="909" spans="17:18" x14ac:dyDescent="0.25">
      <c r="Q909" s="172">
        <v>225.33</v>
      </c>
      <c r="R909" s="173">
        <v>4.7E-2</v>
      </c>
    </row>
    <row r="910" spans="17:18" x14ac:dyDescent="0.25">
      <c r="Q910" s="172">
        <v>225.5</v>
      </c>
      <c r="R910" s="173">
        <v>4.7E-2</v>
      </c>
    </row>
    <row r="911" spans="17:18" x14ac:dyDescent="0.25">
      <c r="Q911" s="172">
        <v>225.67</v>
      </c>
      <c r="R911" s="173">
        <v>4.7E-2</v>
      </c>
    </row>
    <row r="912" spans="17:18" x14ac:dyDescent="0.25">
      <c r="Q912" s="172">
        <v>226</v>
      </c>
      <c r="R912" s="173">
        <v>4.7E-2</v>
      </c>
    </row>
    <row r="913" spans="17:18" x14ac:dyDescent="0.25">
      <c r="Q913" s="172">
        <v>226.33</v>
      </c>
      <c r="R913" s="173">
        <v>4.7E-2</v>
      </c>
    </row>
    <row r="914" spans="17:18" x14ac:dyDescent="0.25">
      <c r="Q914" s="172">
        <v>226.5</v>
      </c>
      <c r="R914" s="173">
        <v>4.7E-2</v>
      </c>
    </row>
    <row r="915" spans="17:18" x14ac:dyDescent="0.25">
      <c r="Q915" s="172">
        <v>226.67</v>
      </c>
      <c r="R915" s="173">
        <v>4.7E-2</v>
      </c>
    </row>
    <row r="916" spans="17:18" x14ac:dyDescent="0.25">
      <c r="Q916" s="172">
        <v>227</v>
      </c>
      <c r="R916" s="173">
        <v>4.7E-2</v>
      </c>
    </row>
    <row r="917" spans="17:18" x14ac:dyDescent="0.25">
      <c r="Q917" s="172">
        <v>227.33</v>
      </c>
      <c r="R917" s="173">
        <v>4.7E-2</v>
      </c>
    </row>
    <row r="918" spans="17:18" x14ac:dyDescent="0.25">
      <c r="Q918" s="172">
        <v>227.5</v>
      </c>
      <c r="R918" s="173">
        <v>4.7E-2</v>
      </c>
    </row>
    <row r="919" spans="17:18" x14ac:dyDescent="0.25">
      <c r="Q919" s="172">
        <v>227.67</v>
      </c>
      <c r="R919" s="173">
        <v>4.7E-2</v>
      </c>
    </row>
    <row r="920" spans="17:18" x14ac:dyDescent="0.25">
      <c r="Q920" s="172">
        <v>228</v>
      </c>
      <c r="R920" s="173">
        <v>4.7E-2</v>
      </c>
    </row>
    <row r="921" spans="17:18" x14ac:dyDescent="0.25">
      <c r="Q921" s="172">
        <v>228.33</v>
      </c>
      <c r="R921" s="173">
        <v>4.7E-2</v>
      </c>
    </row>
    <row r="922" spans="17:18" x14ac:dyDescent="0.25">
      <c r="Q922" s="172">
        <v>228.5</v>
      </c>
      <c r="R922" s="173">
        <v>4.7E-2</v>
      </c>
    </row>
    <row r="923" spans="17:18" x14ac:dyDescent="0.25">
      <c r="Q923" s="172">
        <v>228.67</v>
      </c>
      <c r="R923" s="173">
        <v>4.5999999999999999E-2</v>
      </c>
    </row>
    <row r="924" spans="17:18" x14ac:dyDescent="0.25">
      <c r="Q924" s="172">
        <v>229</v>
      </c>
      <c r="R924" s="173">
        <v>4.5999999999999999E-2</v>
      </c>
    </row>
    <row r="925" spans="17:18" x14ac:dyDescent="0.25">
      <c r="Q925" s="172">
        <v>229.33</v>
      </c>
      <c r="R925" s="173">
        <v>4.7E-2</v>
      </c>
    </row>
    <row r="926" spans="17:18" x14ac:dyDescent="0.25">
      <c r="Q926" s="172">
        <v>229.5</v>
      </c>
      <c r="R926" s="173">
        <v>4.7E-2</v>
      </c>
    </row>
    <row r="927" spans="17:18" x14ac:dyDescent="0.25">
      <c r="Q927" s="172">
        <v>229.67</v>
      </c>
      <c r="R927" s="173">
        <v>4.5999999999999999E-2</v>
      </c>
    </row>
    <row r="928" spans="17:18" x14ac:dyDescent="0.25">
      <c r="Q928" s="172">
        <v>230</v>
      </c>
      <c r="R928" s="173">
        <v>4.7E-2</v>
      </c>
    </row>
    <row r="929" spans="17:18" x14ac:dyDescent="0.25">
      <c r="Q929" s="172">
        <v>230.33</v>
      </c>
      <c r="R929" s="173">
        <v>4.7E-2</v>
      </c>
    </row>
    <row r="930" spans="17:18" x14ac:dyDescent="0.25">
      <c r="Q930" s="172">
        <v>230.5</v>
      </c>
      <c r="R930" s="173">
        <v>4.5999999999999999E-2</v>
      </c>
    </row>
    <row r="931" spans="17:18" x14ac:dyDescent="0.25">
      <c r="Q931" s="172">
        <v>230.67</v>
      </c>
      <c r="R931" s="173">
        <v>4.7E-2</v>
      </c>
    </row>
    <row r="932" spans="17:18" x14ac:dyDescent="0.25">
      <c r="Q932" s="172">
        <v>231</v>
      </c>
      <c r="R932" s="173">
        <v>4.7E-2</v>
      </c>
    </row>
    <row r="933" spans="17:18" x14ac:dyDescent="0.25">
      <c r="Q933" s="172">
        <v>231.33</v>
      </c>
      <c r="R933" s="173">
        <v>4.7E-2</v>
      </c>
    </row>
    <row r="934" spans="17:18" x14ac:dyDescent="0.25">
      <c r="Q934" s="172">
        <v>231.5</v>
      </c>
      <c r="R934" s="173">
        <v>4.5999999999999999E-2</v>
      </c>
    </row>
    <row r="935" spans="17:18" x14ac:dyDescent="0.25">
      <c r="Q935" s="172">
        <v>231.67</v>
      </c>
      <c r="R935" s="173">
        <v>4.7E-2</v>
      </c>
    </row>
    <row r="936" spans="17:18" x14ac:dyDescent="0.25">
      <c r="Q936" s="172">
        <v>232</v>
      </c>
      <c r="R936" s="173">
        <v>4.7E-2</v>
      </c>
    </row>
    <row r="937" spans="17:18" x14ac:dyDescent="0.25">
      <c r="Q937" s="172">
        <v>232.33</v>
      </c>
      <c r="R937" s="173">
        <v>4.5999999999999999E-2</v>
      </c>
    </row>
    <row r="938" spans="17:18" x14ac:dyDescent="0.25">
      <c r="Q938" s="172">
        <v>232.5</v>
      </c>
      <c r="R938" s="173">
        <v>4.7E-2</v>
      </c>
    </row>
    <row r="939" spans="17:18" x14ac:dyDescent="0.25">
      <c r="Q939" s="172">
        <v>232.67</v>
      </c>
      <c r="R939" s="173">
        <v>4.7E-2</v>
      </c>
    </row>
    <row r="940" spans="17:18" x14ac:dyDescent="0.25">
      <c r="Q940" s="172">
        <v>233</v>
      </c>
      <c r="R940" s="173">
        <v>4.5999999999999999E-2</v>
      </c>
    </row>
    <row r="941" spans="17:18" x14ac:dyDescent="0.25">
      <c r="Q941" s="172">
        <v>233.33</v>
      </c>
      <c r="R941" s="173">
        <v>4.5999999999999999E-2</v>
      </c>
    </row>
    <row r="942" spans="17:18" x14ac:dyDescent="0.25">
      <c r="Q942" s="172">
        <v>233.5</v>
      </c>
      <c r="R942" s="173">
        <v>4.7E-2</v>
      </c>
    </row>
    <row r="943" spans="17:18" x14ac:dyDescent="0.25">
      <c r="Q943" s="172">
        <v>233.67</v>
      </c>
      <c r="R943" s="173">
        <v>4.5999999999999999E-2</v>
      </c>
    </row>
    <row r="944" spans="17:18" x14ac:dyDescent="0.25">
      <c r="Q944" s="172">
        <v>234</v>
      </c>
      <c r="R944" s="173">
        <v>4.5999999999999999E-2</v>
      </c>
    </row>
    <row r="945" spans="17:18" x14ac:dyDescent="0.25">
      <c r="Q945" s="172">
        <v>234.33</v>
      </c>
      <c r="R945" s="173">
        <v>4.7E-2</v>
      </c>
    </row>
    <row r="946" spans="17:18" x14ac:dyDescent="0.25">
      <c r="Q946" s="172">
        <v>234.5</v>
      </c>
      <c r="R946" s="173">
        <v>4.7E-2</v>
      </c>
    </row>
    <row r="947" spans="17:18" x14ac:dyDescent="0.25">
      <c r="Q947" s="172">
        <v>234.67</v>
      </c>
      <c r="R947" s="173">
        <v>4.5999999999999999E-2</v>
      </c>
    </row>
    <row r="948" spans="17:18" x14ac:dyDescent="0.25">
      <c r="Q948" s="172">
        <v>235</v>
      </c>
      <c r="R948" s="173">
        <v>4.5999999999999999E-2</v>
      </c>
    </row>
    <row r="949" spans="17:18" x14ac:dyDescent="0.25">
      <c r="Q949" s="172">
        <v>235.33</v>
      </c>
      <c r="R949" s="173">
        <v>4.7E-2</v>
      </c>
    </row>
    <row r="950" spans="17:18" x14ac:dyDescent="0.25">
      <c r="Q950" s="172">
        <v>235.5</v>
      </c>
      <c r="R950" s="173">
        <v>5.1999999999999998E-2</v>
      </c>
    </row>
    <row r="951" spans="17:18" x14ac:dyDescent="0.25">
      <c r="Q951" s="172">
        <v>235.67</v>
      </c>
      <c r="R951" s="173">
        <v>5.1999999999999998E-2</v>
      </c>
    </row>
    <row r="952" spans="17:18" x14ac:dyDescent="0.25">
      <c r="Q952" s="172">
        <v>236</v>
      </c>
      <c r="R952" s="173">
        <v>4.9000000000000002E-2</v>
      </c>
    </row>
    <row r="953" spans="17:18" x14ac:dyDescent="0.25">
      <c r="Q953" s="172">
        <v>236.33</v>
      </c>
      <c r="R953" s="173">
        <v>4.7E-2</v>
      </c>
    </row>
    <row r="954" spans="17:18" x14ac:dyDescent="0.25">
      <c r="Q954" s="172">
        <v>236.5</v>
      </c>
      <c r="R954" s="173">
        <v>4.5999999999999999E-2</v>
      </c>
    </row>
    <row r="955" spans="17:18" x14ac:dyDescent="0.25">
      <c r="Q955" s="172">
        <v>236.67</v>
      </c>
      <c r="R955" s="173">
        <v>4.5999999999999999E-2</v>
      </c>
    </row>
    <row r="956" spans="17:18" x14ac:dyDescent="0.25">
      <c r="Q956" s="172">
        <v>237</v>
      </c>
      <c r="R956" s="173">
        <v>4.5999999999999999E-2</v>
      </c>
    </row>
    <row r="957" spans="17:18" x14ac:dyDescent="0.25">
      <c r="Q957" s="172">
        <v>237.33</v>
      </c>
      <c r="R957" s="173">
        <v>4.5999999999999999E-2</v>
      </c>
    </row>
    <row r="958" spans="17:18" x14ac:dyDescent="0.25">
      <c r="Q958" s="172">
        <v>237.5</v>
      </c>
      <c r="R958" s="173">
        <v>4.5999999999999999E-2</v>
      </c>
    </row>
    <row r="959" spans="17:18" x14ac:dyDescent="0.25">
      <c r="Q959" s="172">
        <v>237.67</v>
      </c>
      <c r="R959" s="173">
        <v>4.5999999999999999E-2</v>
      </c>
    </row>
    <row r="960" spans="17:18" x14ac:dyDescent="0.25">
      <c r="Q960" s="172">
        <v>238</v>
      </c>
      <c r="R960" s="173">
        <v>4.5999999999999999E-2</v>
      </c>
    </row>
    <row r="961" spans="17:18" x14ac:dyDescent="0.25">
      <c r="Q961" s="172">
        <v>238.33</v>
      </c>
      <c r="R961" s="173">
        <v>4.5999999999999999E-2</v>
      </c>
    </row>
    <row r="962" spans="17:18" x14ac:dyDescent="0.25">
      <c r="Q962" s="172">
        <v>238.5</v>
      </c>
      <c r="R962" s="173">
        <v>4.5999999999999999E-2</v>
      </c>
    </row>
    <row r="963" spans="17:18" x14ac:dyDescent="0.25">
      <c r="Q963" s="172">
        <v>238.67</v>
      </c>
      <c r="R963" s="173">
        <v>4.5999999999999999E-2</v>
      </c>
    </row>
    <row r="964" spans="17:18" x14ac:dyDescent="0.25">
      <c r="Q964" s="172">
        <v>239</v>
      </c>
      <c r="R964" s="173">
        <v>4.5999999999999999E-2</v>
      </c>
    </row>
    <row r="965" spans="17:18" x14ac:dyDescent="0.25">
      <c r="Q965" s="172">
        <v>239.33</v>
      </c>
      <c r="R965" s="173">
        <v>4.5999999999999999E-2</v>
      </c>
    </row>
    <row r="966" spans="17:18" x14ac:dyDescent="0.25">
      <c r="Q966" s="172">
        <v>239.5</v>
      </c>
      <c r="R966" s="173">
        <v>4.5999999999999999E-2</v>
      </c>
    </row>
    <row r="967" spans="17:18" x14ac:dyDescent="0.25">
      <c r="Q967" s="172">
        <v>239.67</v>
      </c>
      <c r="R967" s="173">
        <v>4.5999999999999999E-2</v>
      </c>
    </row>
    <row r="968" spans="17:18" x14ac:dyDescent="0.25">
      <c r="Q968" s="172">
        <v>240</v>
      </c>
      <c r="R968" s="173">
        <v>4.5999999999999999E-2</v>
      </c>
    </row>
    <row r="969" spans="17:18" x14ac:dyDescent="0.25">
      <c r="Q969" s="172">
        <v>240.33</v>
      </c>
      <c r="R969" s="173">
        <v>4.5999999999999999E-2</v>
      </c>
    </row>
    <row r="970" spans="17:18" x14ac:dyDescent="0.25">
      <c r="Q970" s="172">
        <v>240.5</v>
      </c>
      <c r="R970" s="173">
        <v>4.5999999999999999E-2</v>
      </c>
    </row>
    <row r="971" spans="17:18" x14ac:dyDescent="0.25">
      <c r="Q971" s="172">
        <v>240.67</v>
      </c>
      <c r="R971" s="173">
        <v>4.5999999999999999E-2</v>
      </c>
    </row>
    <row r="972" spans="17:18" x14ac:dyDescent="0.25">
      <c r="Q972" s="172">
        <v>241</v>
      </c>
      <c r="R972" s="173">
        <v>4.5999999999999999E-2</v>
      </c>
    </row>
    <row r="973" spans="17:18" x14ac:dyDescent="0.25">
      <c r="Q973" s="172">
        <v>241.33</v>
      </c>
      <c r="R973" s="173">
        <v>4.5999999999999999E-2</v>
      </c>
    </row>
    <row r="974" spans="17:18" x14ac:dyDescent="0.25">
      <c r="Q974" s="172">
        <v>241.5</v>
      </c>
      <c r="R974" s="173">
        <v>4.5999999999999999E-2</v>
      </c>
    </row>
    <row r="975" spans="17:18" x14ac:dyDescent="0.25">
      <c r="Q975" s="172">
        <v>241.67</v>
      </c>
      <c r="R975" s="173">
        <v>4.5999999999999999E-2</v>
      </c>
    </row>
    <row r="976" spans="17:18" x14ac:dyDescent="0.25">
      <c r="Q976" s="172">
        <v>242</v>
      </c>
      <c r="R976" s="173">
        <v>4.5999999999999999E-2</v>
      </c>
    </row>
    <row r="977" spans="17:18" x14ac:dyDescent="0.25">
      <c r="Q977" s="172">
        <v>242.33</v>
      </c>
      <c r="R977" s="173">
        <v>4.5999999999999999E-2</v>
      </c>
    </row>
    <row r="978" spans="17:18" x14ac:dyDescent="0.25">
      <c r="Q978" s="172">
        <v>242.5</v>
      </c>
      <c r="R978" s="173">
        <v>4.5999999999999999E-2</v>
      </c>
    </row>
    <row r="979" spans="17:18" x14ac:dyDescent="0.25">
      <c r="Q979" s="172">
        <v>242.67</v>
      </c>
      <c r="R979" s="173">
        <v>4.5999999999999999E-2</v>
      </c>
    </row>
    <row r="980" spans="17:18" x14ac:dyDescent="0.25">
      <c r="Q980" s="172">
        <v>243</v>
      </c>
      <c r="R980" s="173">
        <v>4.5999999999999999E-2</v>
      </c>
    </row>
    <row r="981" spans="17:18" x14ac:dyDescent="0.25">
      <c r="Q981" s="172">
        <v>243.33</v>
      </c>
      <c r="R981" s="173">
        <v>4.5999999999999999E-2</v>
      </c>
    </row>
    <row r="982" spans="17:18" x14ac:dyDescent="0.25">
      <c r="Q982" s="172">
        <v>243.5</v>
      </c>
      <c r="R982" s="173">
        <v>4.5999999999999999E-2</v>
      </c>
    </row>
    <row r="983" spans="17:18" x14ac:dyDescent="0.25">
      <c r="Q983" s="172">
        <v>243.67</v>
      </c>
      <c r="R983" s="173">
        <v>4.5999999999999999E-2</v>
      </c>
    </row>
    <row r="984" spans="17:18" x14ac:dyDescent="0.25">
      <c r="Q984" s="172">
        <v>244</v>
      </c>
      <c r="R984" s="173">
        <v>4.5999999999999999E-2</v>
      </c>
    </row>
    <row r="985" spans="17:18" x14ac:dyDescent="0.25">
      <c r="Q985" s="172">
        <v>244.33</v>
      </c>
      <c r="R985" s="173">
        <v>4.5999999999999999E-2</v>
      </c>
    </row>
    <row r="986" spans="17:18" x14ac:dyDescent="0.25">
      <c r="Q986" s="172">
        <v>244.5</v>
      </c>
      <c r="R986" s="173">
        <v>4.8000000000000001E-2</v>
      </c>
    </row>
    <row r="987" spans="17:18" x14ac:dyDescent="0.25">
      <c r="Q987" s="172">
        <v>244.67</v>
      </c>
      <c r="R987" s="173">
        <v>5.0999999999999997E-2</v>
      </c>
    </row>
    <row r="988" spans="17:18" x14ac:dyDescent="0.25">
      <c r="Q988" s="172">
        <v>245</v>
      </c>
      <c r="R988" s="173">
        <v>0.05</v>
      </c>
    </row>
    <row r="989" spans="17:18" x14ac:dyDescent="0.25">
      <c r="Q989" s="172">
        <v>245.33</v>
      </c>
      <c r="R989" s="173">
        <v>4.8000000000000001E-2</v>
      </c>
    </row>
    <row r="990" spans="17:18" x14ac:dyDescent="0.25">
      <c r="Q990" s="172">
        <v>245.5</v>
      </c>
      <c r="R990" s="173">
        <v>4.7E-2</v>
      </c>
    </row>
    <row r="991" spans="17:18" x14ac:dyDescent="0.25">
      <c r="Q991" s="172">
        <v>245.67</v>
      </c>
      <c r="R991" s="173">
        <v>4.5999999999999999E-2</v>
      </c>
    </row>
    <row r="992" spans="17:18" x14ac:dyDescent="0.25">
      <c r="Q992" s="172">
        <v>246</v>
      </c>
      <c r="R992" s="173">
        <v>4.5999999999999999E-2</v>
      </c>
    </row>
    <row r="993" spans="17:18" x14ac:dyDescent="0.25">
      <c r="Q993" s="172">
        <v>246.33</v>
      </c>
      <c r="R993" s="173">
        <v>4.5999999999999999E-2</v>
      </c>
    </row>
    <row r="994" spans="17:18" x14ac:dyDescent="0.25">
      <c r="Q994" s="172">
        <v>246.5</v>
      </c>
      <c r="R994" s="173">
        <v>4.5999999999999999E-2</v>
      </c>
    </row>
    <row r="995" spans="17:18" x14ac:dyDescent="0.25">
      <c r="Q995" s="172">
        <v>246.67</v>
      </c>
      <c r="R995" s="173">
        <v>4.4999999999999998E-2</v>
      </c>
    </row>
    <row r="996" spans="17:18" x14ac:dyDescent="0.25">
      <c r="Q996" s="172">
        <v>247</v>
      </c>
      <c r="R996" s="173">
        <v>4.5999999999999999E-2</v>
      </c>
    </row>
    <row r="997" spans="17:18" x14ac:dyDescent="0.25">
      <c r="Q997" s="172">
        <v>247.33</v>
      </c>
      <c r="R997" s="173">
        <v>4.5999999999999999E-2</v>
      </c>
    </row>
    <row r="998" spans="17:18" x14ac:dyDescent="0.25">
      <c r="Q998" s="172">
        <v>247.5</v>
      </c>
      <c r="R998" s="173">
        <v>4.5999999999999999E-2</v>
      </c>
    </row>
    <row r="999" spans="17:18" x14ac:dyDescent="0.25">
      <c r="Q999" s="172">
        <v>247.67</v>
      </c>
      <c r="R999" s="173">
        <v>4.5999999999999999E-2</v>
      </c>
    </row>
    <row r="1000" spans="17:18" x14ac:dyDescent="0.25">
      <c r="Q1000" s="172">
        <v>248</v>
      </c>
      <c r="R1000" s="173">
        <v>4.5999999999999999E-2</v>
      </c>
    </row>
    <row r="1001" spans="17:18" x14ac:dyDescent="0.25">
      <c r="Q1001" s="172">
        <v>248.33</v>
      </c>
      <c r="R1001" s="173">
        <v>4.5999999999999999E-2</v>
      </c>
    </row>
    <row r="1002" spans="17:18" x14ac:dyDescent="0.25">
      <c r="Q1002" s="172">
        <v>248.5</v>
      </c>
      <c r="R1002" s="173">
        <v>4.5999999999999999E-2</v>
      </c>
    </row>
    <row r="1003" spans="17:18" x14ac:dyDescent="0.25">
      <c r="Q1003" s="172">
        <v>248.67</v>
      </c>
      <c r="R1003" s="173">
        <v>4.5999999999999999E-2</v>
      </c>
    </row>
    <row r="1004" spans="17:18" x14ac:dyDescent="0.25">
      <c r="Q1004" s="172">
        <v>249</v>
      </c>
      <c r="R1004" s="173">
        <v>4.5999999999999999E-2</v>
      </c>
    </row>
    <row r="1005" spans="17:18" x14ac:dyDescent="0.25">
      <c r="Q1005" s="172">
        <v>249.33</v>
      </c>
      <c r="R1005" s="173">
        <v>4.5999999999999999E-2</v>
      </c>
    </row>
    <row r="1006" spans="17:18" x14ac:dyDescent="0.25">
      <c r="Q1006" s="172">
        <v>249.5</v>
      </c>
      <c r="R1006" s="173">
        <v>4.5999999999999999E-2</v>
      </c>
    </row>
    <row r="1007" spans="17:18" x14ac:dyDescent="0.25">
      <c r="Q1007" s="172">
        <v>250</v>
      </c>
      <c r="R1007" s="173">
        <v>4.5999999999999999E-2</v>
      </c>
    </row>
    <row r="1008" spans="17:18" x14ac:dyDescent="0.25">
      <c r="Q1008" s="172">
        <v>600</v>
      </c>
      <c r="R1008" s="173">
        <v>4.5999999999999999E-2</v>
      </c>
    </row>
  </sheetData>
  <sheetProtection sheet="1" objects="1" scenarios="1"/>
  <dataValidations count="4">
    <dataValidation type="list" allowBlank="1" showInputMessage="1" showErrorMessage="1" sqref="H7 N7" xr:uid="{00000000-0002-0000-0300-000003000000}">
      <formula1>"W/(m^2 K),BTU/(hr ft^2 F),BTU/(hr ft^2 R)"</formula1>
    </dataValidation>
    <dataValidation type="list" allowBlank="1" showInputMessage="1" showErrorMessage="1" sqref="J7 C5:D5 P7" xr:uid="{9808259A-AB32-4BD6-AFD8-C3DF48185202}">
      <formula1>"C,K,F,R"</formula1>
    </dataValidation>
    <dataValidation type="list" allowBlank="1" showInputMessage="1" showErrorMessage="1" sqref="L7 R7" xr:uid="{0ECB4E5E-F5A4-4154-A87D-ACBB56F102D9}">
      <formula1>"atm,bar,dyn/cm^2,Pa,kPa,MPa,kp/cm^2,psi,ksi"</formula1>
    </dataValidation>
    <dataValidation type="list" allowBlank="1" showInputMessage="1" showErrorMessage="1" sqref="G7 I7 K7 M7 O7 Q7" xr:uid="{C05EECAC-05D9-4593-8824-A35C93C655DD}">
      <formula1>"s,m,h,d"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AVLoad_Input">
    <tabColor rgb="FFFFC000"/>
  </sheetPr>
  <dimension ref="A1:E744"/>
  <sheetViews>
    <sheetView zoomScaleNormal="100" workbookViewId="0">
      <pane ySplit="7" topLeftCell="A95" activePane="bottomLeft" state="frozen"/>
      <selection pane="bottomLeft" sqref="A1:A744"/>
    </sheetView>
  </sheetViews>
  <sheetFormatPr defaultColWidth="0" defaultRowHeight="15" x14ac:dyDescent="0.25"/>
  <cols>
    <col min="1" max="1" width="110.7109375" style="205" customWidth="1"/>
    <col min="2" max="5" width="9.140625" customWidth="1"/>
    <col min="6" max="16384" width="9.140625" hidden="1"/>
  </cols>
  <sheetData>
    <row r="1" spans="1:1" x14ac:dyDescent="0.25">
      <c r="A1" s="205" t="s">
        <v>206</v>
      </c>
    </row>
    <row r="2" spans="1:1" x14ac:dyDescent="0.25">
      <c r="A2" s="205" t="s">
        <v>207</v>
      </c>
    </row>
    <row r="3" spans="1:1" x14ac:dyDescent="0.25">
      <c r="A3" s="205" t="s">
        <v>765</v>
      </c>
    </row>
    <row r="4" spans="1:1" x14ac:dyDescent="0.25">
      <c r="A4" s="205" t="s">
        <v>766</v>
      </c>
    </row>
    <row r="5" spans="1:1" x14ac:dyDescent="0.25">
      <c r="A5" s="205" t="s">
        <v>462</v>
      </c>
    </row>
    <row r="6" spans="1:1" x14ac:dyDescent="0.25">
      <c r="A6" s="205" t="s">
        <v>212</v>
      </c>
    </row>
    <row r="7" spans="1:1" x14ac:dyDescent="0.25">
      <c r="A7" s="205" t="s">
        <v>208</v>
      </c>
    </row>
    <row r="8" spans="1:1" x14ac:dyDescent="0.25">
      <c r="A8" s="205" t="s">
        <v>231</v>
      </c>
    </row>
    <row r="9" spans="1:1" x14ac:dyDescent="0.25">
      <c r="A9" s="205" t="s">
        <v>896</v>
      </c>
    </row>
    <row r="10" spans="1:1" x14ac:dyDescent="0.25">
      <c r="A10" s="205" t="s">
        <v>219</v>
      </c>
    </row>
    <row r="11" spans="1:1" x14ac:dyDescent="0.25">
      <c r="A11" s="205" t="s">
        <v>220</v>
      </c>
    </row>
    <row r="12" spans="1:1" x14ac:dyDescent="0.25">
      <c r="A12" s="205" t="s">
        <v>897</v>
      </c>
    </row>
    <row r="13" spans="1:1" x14ac:dyDescent="0.25">
      <c r="A13" s="205" t="s">
        <v>218</v>
      </c>
    </row>
    <row r="14" spans="1:1" x14ac:dyDescent="0.25">
      <c r="A14" s="205" t="s">
        <v>898</v>
      </c>
    </row>
    <row r="15" spans="1:1" x14ac:dyDescent="0.25">
      <c r="A15" s="205" t="s">
        <v>899</v>
      </c>
    </row>
    <row r="16" spans="1:1" x14ac:dyDescent="0.25">
      <c r="A16" s="205" t="s">
        <v>900</v>
      </c>
    </row>
    <row r="17" spans="1:1" x14ac:dyDescent="0.25">
      <c r="A17" s="205" t="s">
        <v>209</v>
      </c>
    </row>
    <row r="18" spans="1:1" x14ac:dyDescent="0.25">
      <c r="A18" s="205" t="s">
        <v>232</v>
      </c>
    </row>
    <row r="19" spans="1:1" x14ac:dyDescent="0.25">
      <c r="A19" s="205" t="s">
        <v>896</v>
      </c>
    </row>
    <row r="20" spans="1:1" x14ac:dyDescent="0.25">
      <c r="A20" s="205" t="s">
        <v>219</v>
      </c>
    </row>
    <row r="21" spans="1:1" x14ac:dyDescent="0.25">
      <c r="A21" s="205" t="s">
        <v>220</v>
      </c>
    </row>
    <row r="22" spans="1:1" x14ac:dyDescent="0.25">
      <c r="A22" s="205" t="s">
        <v>903</v>
      </c>
    </row>
    <row r="23" spans="1:1" x14ac:dyDescent="0.25">
      <c r="A23" s="205" t="s">
        <v>218</v>
      </c>
    </row>
    <row r="24" spans="1:1" x14ac:dyDescent="0.25">
      <c r="A24" s="205" t="s">
        <v>221</v>
      </c>
    </row>
    <row r="25" spans="1:1" x14ac:dyDescent="0.25">
      <c r="A25" s="205" t="s">
        <v>222</v>
      </c>
    </row>
    <row r="26" spans="1:1" x14ac:dyDescent="0.25">
      <c r="A26" s="205" t="s">
        <v>900</v>
      </c>
    </row>
    <row r="27" spans="1:1" x14ac:dyDescent="0.25">
      <c r="A27" s="205" t="s">
        <v>237</v>
      </c>
    </row>
    <row r="28" spans="1:1" x14ac:dyDescent="0.25">
      <c r="A28" s="205" t="s">
        <v>212</v>
      </c>
    </row>
    <row r="29" spans="1:1" x14ac:dyDescent="0.25">
      <c r="A29" s="205" t="s">
        <v>236</v>
      </c>
    </row>
    <row r="30" spans="1:1" x14ac:dyDescent="0.25">
      <c r="A30" s="205" t="s">
        <v>768</v>
      </c>
    </row>
    <row r="31" spans="1:1" x14ac:dyDescent="0.25">
      <c r="A31" s="205" t="s">
        <v>767</v>
      </c>
    </row>
    <row r="32" spans="1:1" x14ac:dyDescent="0.25">
      <c r="A32" s="205" t="s">
        <v>830</v>
      </c>
    </row>
    <row r="33" spans="1:1" x14ac:dyDescent="0.25">
      <c r="A33" s="205" t="s">
        <v>831</v>
      </c>
    </row>
    <row r="34" spans="1:1" x14ac:dyDescent="0.25">
      <c r="A34" s="205" t="s">
        <v>212</v>
      </c>
    </row>
    <row r="35" spans="1:1" x14ac:dyDescent="0.25">
      <c r="A35" s="205" t="s">
        <v>238</v>
      </c>
    </row>
    <row r="36" spans="1:1" x14ac:dyDescent="0.25">
      <c r="A36" s="205" t="s">
        <v>832</v>
      </c>
    </row>
    <row r="37" spans="1:1" x14ac:dyDescent="0.25">
      <c r="A37" s="205" t="s">
        <v>395</v>
      </c>
    </row>
    <row r="38" spans="1:1" x14ac:dyDescent="0.25">
      <c r="A38" s="205" t="s">
        <v>239</v>
      </c>
    </row>
    <row r="39" spans="1:1" x14ac:dyDescent="0.25">
      <c r="A39" s="205" t="s">
        <v>240</v>
      </c>
    </row>
    <row r="40" spans="1:1" x14ac:dyDescent="0.25">
      <c r="A40" s="205" t="s">
        <v>268</v>
      </c>
    </row>
    <row r="41" spans="1:1" x14ac:dyDescent="0.25">
      <c r="A41" s="205" t="s">
        <v>907</v>
      </c>
    </row>
    <row r="42" spans="1:1" x14ac:dyDescent="0.25">
      <c r="A42" s="205" t="s">
        <v>241</v>
      </c>
    </row>
    <row r="43" spans="1:1" x14ac:dyDescent="0.25">
      <c r="A43" s="205" t="s">
        <v>242</v>
      </c>
    </row>
    <row r="44" spans="1:1" x14ac:dyDescent="0.25">
      <c r="A44" s="205" t="s">
        <v>833</v>
      </c>
    </row>
    <row r="45" spans="1:1" x14ac:dyDescent="0.25">
      <c r="A45" s="205" t="s">
        <v>243</v>
      </c>
    </row>
    <row r="46" spans="1:1" x14ac:dyDescent="0.25">
      <c r="A46" s="205" t="s">
        <v>244</v>
      </c>
    </row>
    <row r="47" spans="1:1" x14ac:dyDescent="0.25">
      <c r="A47" s="205" t="s">
        <v>769</v>
      </c>
    </row>
    <row r="48" spans="1:1" x14ac:dyDescent="0.25">
      <c r="A48" s="205" t="s">
        <v>243</v>
      </c>
    </row>
    <row r="49" spans="1:1" x14ac:dyDescent="0.25">
      <c r="A49" s="205" t="s">
        <v>269</v>
      </c>
    </row>
    <row r="50" spans="1:1" x14ac:dyDescent="0.25">
      <c r="A50" s="205" t="s">
        <v>245</v>
      </c>
    </row>
    <row r="51" spans="1:1" x14ac:dyDescent="0.25">
      <c r="A51" s="205" t="s">
        <v>246</v>
      </c>
    </row>
    <row r="52" spans="1:1" x14ac:dyDescent="0.25">
      <c r="A52" s="205" t="s">
        <v>304</v>
      </c>
    </row>
    <row r="53" spans="1:1" x14ac:dyDescent="0.25">
      <c r="A53" s="205" t="s">
        <v>242</v>
      </c>
    </row>
    <row r="54" spans="1:1" x14ac:dyDescent="0.25">
      <c r="A54" s="205" t="s">
        <v>908</v>
      </c>
    </row>
    <row r="55" spans="1:1" x14ac:dyDescent="0.25">
      <c r="A55" s="205" t="s">
        <v>243</v>
      </c>
    </row>
    <row r="56" spans="1:1" x14ac:dyDescent="0.25">
      <c r="A56" s="205" t="s">
        <v>248</v>
      </c>
    </row>
    <row r="57" spans="1:1" x14ac:dyDescent="0.25">
      <c r="A57" s="205" t="s">
        <v>909</v>
      </c>
    </row>
    <row r="58" spans="1:1" x14ac:dyDescent="0.25">
      <c r="A58" s="205" t="s">
        <v>243</v>
      </c>
    </row>
    <row r="59" spans="1:1" x14ac:dyDescent="0.25">
      <c r="A59" s="205" t="s">
        <v>269</v>
      </c>
    </row>
    <row r="60" spans="1:1" x14ac:dyDescent="0.25">
      <c r="A60" s="205" t="s">
        <v>249</v>
      </c>
    </row>
    <row r="61" spans="1:1" x14ac:dyDescent="0.25">
      <c r="A61" s="205" t="s">
        <v>246</v>
      </c>
    </row>
    <row r="62" spans="1:1" x14ac:dyDescent="0.25">
      <c r="A62" s="205" t="s">
        <v>250</v>
      </c>
    </row>
    <row r="63" spans="1:1" x14ac:dyDescent="0.25">
      <c r="A63" s="205" t="s">
        <v>242</v>
      </c>
    </row>
    <row r="64" spans="1:1" x14ac:dyDescent="0.25">
      <c r="A64" s="205" t="s">
        <v>770</v>
      </c>
    </row>
    <row r="65" spans="1:1" x14ac:dyDescent="0.25">
      <c r="A65" s="205" t="s">
        <v>771</v>
      </c>
    </row>
    <row r="66" spans="1:1" x14ac:dyDescent="0.25">
      <c r="A66" s="205" t="s">
        <v>772</v>
      </c>
    </row>
    <row r="67" spans="1:1" x14ac:dyDescent="0.25">
      <c r="A67" s="205" t="s">
        <v>773</v>
      </c>
    </row>
    <row r="68" spans="1:1" x14ac:dyDescent="0.25">
      <c r="A68" s="205" t="s">
        <v>774</v>
      </c>
    </row>
    <row r="69" spans="1:1" x14ac:dyDescent="0.25">
      <c r="A69" s="205" t="s">
        <v>775</v>
      </c>
    </row>
    <row r="70" spans="1:1" x14ac:dyDescent="0.25">
      <c r="A70" s="205" t="s">
        <v>776</v>
      </c>
    </row>
    <row r="71" spans="1:1" x14ac:dyDescent="0.25">
      <c r="A71" s="205" t="s">
        <v>777</v>
      </c>
    </row>
    <row r="72" spans="1:1" x14ac:dyDescent="0.25">
      <c r="A72" s="205" t="s">
        <v>778</v>
      </c>
    </row>
    <row r="73" spans="1:1" x14ac:dyDescent="0.25">
      <c r="A73" s="205" t="s">
        <v>779</v>
      </c>
    </row>
    <row r="74" spans="1:1" x14ac:dyDescent="0.25">
      <c r="A74" s="205" t="s">
        <v>780</v>
      </c>
    </row>
    <row r="75" spans="1:1" x14ac:dyDescent="0.25">
      <c r="A75" s="205" t="s">
        <v>781</v>
      </c>
    </row>
    <row r="76" spans="1:1" x14ac:dyDescent="0.25">
      <c r="A76" s="205" t="s">
        <v>782</v>
      </c>
    </row>
    <row r="77" spans="1:1" x14ac:dyDescent="0.25">
      <c r="A77" s="205" t="s">
        <v>783</v>
      </c>
    </row>
    <row r="78" spans="1:1" x14ac:dyDescent="0.25">
      <c r="A78" s="205" t="s">
        <v>784</v>
      </c>
    </row>
    <row r="79" spans="1:1" x14ac:dyDescent="0.25">
      <c r="A79" s="205" t="s">
        <v>785</v>
      </c>
    </row>
    <row r="80" spans="1:1" x14ac:dyDescent="0.25">
      <c r="A80" s="205" t="s">
        <v>786</v>
      </c>
    </row>
    <row r="81" spans="1:1" x14ac:dyDescent="0.25">
      <c r="A81" s="205" t="s">
        <v>787</v>
      </c>
    </row>
    <row r="82" spans="1:1" x14ac:dyDescent="0.25">
      <c r="A82" s="205" t="s">
        <v>788</v>
      </c>
    </row>
    <row r="83" spans="1:1" x14ac:dyDescent="0.25">
      <c r="A83" s="205" t="s">
        <v>789</v>
      </c>
    </row>
    <row r="84" spans="1:1" x14ac:dyDescent="0.25">
      <c r="A84" s="205" t="s">
        <v>790</v>
      </c>
    </row>
    <row r="85" spans="1:1" x14ac:dyDescent="0.25">
      <c r="A85" s="205" t="s">
        <v>791</v>
      </c>
    </row>
    <row r="86" spans="1:1" x14ac:dyDescent="0.25">
      <c r="A86" s="205" t="s">
        <v>792</v>
      </c>
    </row>
    <row r="87" spans="1:1" x14ac:dyDescent="0.25">
      <c r="A87" s="205" t="s">
        <v>793</v>
      </c>
    </row>
    <row r="88" spans="1:1" x14ac:dyDescent="0.25">
      <c r="A88" s="205" t="s">
        <v>794</v>
      </c>
    </row>
    <row r="89" spans="1:1" x14ac:dyDescent="0.25">
      <c r="A89" s="205" t="s">
        <v>795</v>
      </c>
    </row>
    <row r="90" spans="1:1" x14ac:dyDescent="0.25">
      <c r="A90" s="205" t="s">
        <v>796</v>
      </c>
    </row>
    <row r="91" spans="1:1" x14ac:dyDescent="0.25">
      <c r="A91" s="205" t="s">
        <v>797</v>
      </c>
    </row>
    <row r="92" spans="1:1" x14ac:dyDescent="0.25">
      <c r="A92" s="205" t="s">
        <v>798</v>
      </c>
    </row>
    <row r="93" spans="1:1" x14ac:dyDescent="0.25">
      <c r="A93" s="205" t="s">
        <v>799</v>
      </c>
    </row>
    <row r="94" spans="1:1" x14ac:dyDescent="0.25">
      <c r="A94" s="205" t="s">
        <v>800</v>
      </c>
    </row>
    <row r="95" spans="1:1" x14ac:dyDescent="0.25">
      <c r="A95" s="205" t="s">
        <v>801</v>
      </c>
    </row>
    <row r="96" spans="1:1" x14ac:dyDescent="0.25">
      <c r="A96" s="205" t="s">
        <v>802</v>
      </c>
    </row>
    <row r="97" spans="1:1" x14ac:dyDescent="0.25">
      <c r="A97" s="205" t="s">
        <v>803</v>
      </c>
    </row>
    <row r="98" spans="1:1" x14ac:dyDescent="0.25">
      <c r="A98" s="205" t="s">
        <v>804</v>
      </c>
    </row>
    <row r="99" spans="1:1" x14ac:dyDescent="0.25">
      <c r="A99" s="205" t="s">
        <v>805</v>
      </c>
    </row>
    <row r="100" spans="1:1" x14ac:dyDescent="0.25">
      <c r="A100" s="205" t="s">
        <v>806</v>
      </c>
    </row>
    <row r="101" spans="1:1" x14ac:dyDescent="0.25">
      <c r="A101" s="205" t="s">
        <v>807</v>
      </c>
    </row>
    <row r="102" spans="1:1" x14ac:dyDescent="0.25">
      <c r="A102" s="205" t="s">
        <v>808</v>
      </c>
    </row>
    <row r="103" spans="1:1" x14ac:dyDescent="0.25">
      <c r="A103" s="205" t="s">
        <v>809</v>
      </c>
    </row>
    <row r="104" spans="1:1" x14ac:dyDescent="0.25">
      <c r="A104" s="205" t="s">
        <v>810</v>
      </c>
    </row>
    <row r="105" spans="1:1" x14ac:dyDescent="0.25">
      <c r="A105" s="205" t="s">
        <v>811</v>
      </c>
    </row>
    <row r="106" spans="1:1" x14ac:dyDescent="0.25">
      <c r="A106" s="205" t="s">
        <v>812</v>
      </c>
    </row>
    <row r="107" spans="1:1" x14ac:dyDescent="0.25">
      <c r="A107" s="205" t="s">
        <v>813</v>
      </c>
    </row>
    <row r="108" spans="1:1" x14ac:dyDescent="0.25">
      <c r="A108" s="205" t="s">
        <v>814</v>
      </c>
    </row>
    <row r="109" spans="1:1" x14ac:dyDescent="0.25">
      <c r="A109" s="205" t="s">
        <v>815</v>
      </c>
    </row>
    <row r="110" spans="1:1" x14ac:dyDescent="0.25">
      <c r="A110" s="205" t="s">
        <v>816</v>
      </c>
    </row>
    <row r="111" spans="1:1" x14ac:dyDescent="0.25">
      <c r="A111" s="205" t="s">
        <v>817</v>
      </c>
    </row>
    <row r="112" spans="1:1" x14ac:dyDescent="0.25">
      <c r="A112" s="205" t="s">
        <v>818</v>
      </c>
    </row>
    <row r="113" spans="1:1" x14ac:dyDescent="0.25">
      <c r="A113" s="205" t="s">
        <v>819</v>
      </c>
    </row>
    <row r="114" spans="1:1" x14ac:dyDescent="0.25">
      <c r="A114" s="205" t="s">
        <v>820</v>
      </c>
    </row>
    <row r="115" spans="1:1" x14ac:dyDescent="0.25">
      <c r="A115" s="205" t="s">
        <v>821</v>
      </c>
    </row>
    <row r="116" spans="1:1" x14ac:dyDescent="0.25">
      <c r="A116" s="205" t="s">
        <v>822</v>
      </c>
    </row>
    <row r="117" spans="1:1" x14ac:dyDescent="0.25">
      <c r="A117" s="205" t="s">
        <v>823</v>
      </c>
    </row>
    <row r="118" spans="1:1" x14ac:dyDescent="0.25">
      <c r="A118" s="205" t="s">
        <v>824</v>
      </c>
    </row>
    <row r="119" spans="1:1" x14ac:dyDescent="0.25">
      <c r="A119" s="205" t="s">
        <v>825</v>
      </c>
    </row>
    <row r="120" spans="1:1" x14ac:dyDescent="0.25">
      <c r="A120" s="205" t="s">
        <v>826</v>
      </c>
    </row>
    <row r="121" spans="1:1" x14ac:dyDescent="0.25">
      <c r="A121" s="205" t="s">
        <v>827</v>
      </c>
    </row>
    <row r="122" spans="1:1" x14ac:dyDescent="0.25">
      <c r="A122" s="205" t="s">
        <v>828</v>
      </c>
    </row>
    <row r="123" spans="1:1" x14ac:dyDescent="0.25">
      <c r="A123" s="205" t="s">
        <v>829</v>
      </c>
    </row>
    <row r="124" spans="1:1" x14ac:dyDescent="0.25">
      <c r="A124" s="205" t="s">
        <v>910</v>
      </c>
    </row>
    <row r="125" spans="1:1" x14ac:dyDescent="0.25">
      <c r="A125" s="205" t="s">
        <v>911</v>
      </c>
    </row>
    <row r="126" spans="1:1" x14ac:dyDescent="0.25">
      <c r="A126" s="205" t="s">
        <v>912</v>
      </c>
    </row>
    <row r="127" spans="1:1" x14ac:dyDescent="0.25">
      <c r="A127" s="205" t="s">
        <v>913</v>
      </c>
    </row>
    <row r="128" spans="1:1" x14ac:dyDescent="0.25">
      <c r="A128" s="205" t="s">
        <v>914</v>
      </c>
    </row>
    <row r="129" spans="1:1" x14ac:dyDescent="0.25">
      <c r="A129" s="205" t="s">
        <v>915</v>
      </c>
    </row>
    <row r="130" spans="1:1" x14ac:dyDescent="0.25">
      <c r="A130" s="205" t="s">
        <v>916</v>
      </c>
    </row>
    <row r="131" spans="1:1" x14ac:dyDescent="0.25">
      <c r="A131" s="205" t="s">
        <v>917</v>
      </c>
    </row>
    <row r="132" spans="1:1" x14ac:dyDescent="0.25">
      <c r="A132" s="205" t="s">
        <v>918</v>
      </c>
    </row>
    <row r="133" spans="1:1" x14ac:dyDescent="0.25">
      <c r="A133" s="205" t="s">
        <v>919</v>
      </c>
    </row>
    <row r="134" spans="1:1" x14ac:dyDescent="0.25">
      <c r="A134" s="205" t="s">
        <v>920</v>
      </c>
    </row>
    <row r="135" spans="1:1" x14ac:dyDescent="0.25">
      <c r="A135" s="205" t="s">
        <v>921</v>
      </c>
    </row>
    <row r="136" spans="1:1" x14ac:dyDescent="0.25">
      <c r="A136" s="205" t="s">
        <v>922</v>
      </c>
    </row>
    <row r="137" spans="1:1" x14ac:dyDescent="0.25">
      <c r="A137" s="205" t="s">
        <v>923</v>
      </c>
    </row>
    <row r="138" spans="1:1" x14ac:dyDescent="0.25">
      <c r="A138" s="205" t="s">
        <v>924</v>
      </c>
    </row>
    <row r="139" spans="1:1" x14ac:dyDescent="0.25">
      <c r="A139" s="205" t="s">
        <v>925</v>
      </c>
    </row>
    <row r="140" spans="1:1" x14ac:dyDescent="0.25">
      <c r="A140" s="205" t="s">
        <v>926</v>
      </c>
    </row>
    <row r="141" spans="1:1" x14ac:dyDescent="0.25">
      <c r="A141" s="205" t="s">
        <v>927</v>
      </c>
    </row>
    <row r="142" spans="1:1" x14ac:dyDescent="0.25">
      <c r="A142" s="205" t="s">
        <v>928</v>
      </c>
    </row>
    <row r="143" spans="1:1" x14ac:dyDescent="0.25">
      <c r="A143" s="205" t="s">
        <v>929</v>
      </c>
    </row>
    <row r="144" spans="1:1" x14ac:dyDescent="0.25">
      <c r="A144" s="205" t="s">
        <v>930</v>
      </c>
    </row>
    <row r="145" spans="1:1" x14ac:dyDescent="0.25">
      <c r="A145" s="205" t="s">
        <v>931</v>
      </c>
    </row>
    <row r="146" spans="1:1" x14ac:dyDescent="0.25">
      <c r="A146" s="205" t="s">
        <v>932</v>
      </c>
    </row>
    <row r="147" spans="1:1" x14ac:dyDescent="0.25">
      <c r="A147" s="205" t="s">
        <v>933</v>
      </c>
    </row>
    <row r="148" spans="1:1" x14ac:dyDescent="0.25">
      <c r="A148" s="205" t="s">
        <v>934</v>
      </c>
    </row>
    <row r="149" spans="1:1" x14ac:dyDescent="0.25">
      <c r="A149" s="205" t="s">
        <v>935</v>
      </c>
    </row>
    <row r="150" spans="1:1" x14ac:dyDescent="0.25">
      <c r="A150" s="205" t="s">
        <v>936</v>
      </c>
    </row>
    <row r="151" spans="1:1" x14ac:dyDescent="0.25">
      <c r="A151" s="205" t="s">
        <v>937</v>
      </c>
    </row>
    <row r="152" spans="1:1" x14ac:dyDescent="0.25">
      <c r="A152" s="205" t="s">
        <v>938</v>
      </c>
    </row>
    <row r="153" spans="1:1" x14ac:dyDescent="0.25">
      <c r="A153" s="205" t="s">
        <v>939</v>
      </c>
    </row>
    <row r="154" spans="1:1" x14ac:dyDescent="0.25">
      <c r="A154" s="205" t="s">
        <v>940</v>
      </c>
    </row>
    <row r="155" spans="1:1" x14ac:dyDescent="0.25">
      <c r="A155" s="205" t="s">
        <v>941</v>
      </c>
    </row>
    <row r="156" spans="1:1" x14ac:dyDescent="0.25">
      <c r="A156" s="205" t="s">
        <v>942</v>
      </c>
    </row>
    <row r="157" spans="1:1" x14ac:dyDescent="0.25">
      <c r="A157" s="205" t="s">
        <v>943</v>
      </c>
    </row>
    <row r="158" spans="1:1" x14ac:dyDescent="0.25">
      <c r="A158" s="205" t="s">
        <v>944</v>
      </c>
    </row>
    <row r="159" spans="1:1" x14ac:dyDescent="0.25">
      <c r="A159" s="205" t="s">
        <v>945</v>
      </c>
    </row>
    <row r="160" spans="1:1" x14ac:dyDescent="0.25">
      <c r="A160" s="205" t="s">
        <v>946</v>
      </c>
    </row>
    <row r="161" spans="1:1" x14ac:dyDescent="0.25">
      <c r="A161" s="205" t="s">
        <v>947</v>
      </c>
    </row>
    <row r="162" spans="1:1" x14ac:dyDescent="0.25">
      <c r="A162" s="205" t="s">
        <v>948</v>
      </c>
    </row>
    <row r="163" spans="1:1" x14ac:dyDescent="0.25">
      <c r="A163" s="205" t="s">
        <v>949</v>
      </c>
    </row>
    <row r="164" spans="1:1" x14ac:dyDescent="0.25">
      <c r="A164" s="205" t="s">
        <v>950</v>
      </c>
    </row>
    <row r="165" spans="1:1" x14ac:dyDescent="0.25">
      <c r="A165" s="205" t="s">
        <v>951</v>
      </c>
    </row>
    <row r="166" spans="1:1" x14ac:dyDescent="0.25">
      <c r="A166" s="205" t="s">
        <v>952</v>
      </c>
    </row>
    <row r="167" spans="1:1" x14ac:dyDescent="0.25">
      <c r="A167" s="205" t="s">
        <v>953</v>
      </c>
    </row>
    <row r="168" spans="1:1" x14ac:dyDescent="0.25">
      <c r="A168" s="205" t="s">
        <v>954</v>
      </c>
    </row>
    <row r="169" spans="1:1" x14ac:dyDescent="0.25">
      <c r="A169" s="205" t="s">
        <v>955</v>
      </c>
    </row>
    <row r="170" spans="1:1" x14ac:dyDescent="0.25">
      <c r="A170" s="205" t="s">
        <v>956</v>
      </c>
    </row>
    <row r="171" spans="1:1" x14ac:dyDescent="0.25">
      <c r="A171" s="205" t="s">
        <v>957</v>
      </c>
    </row>
    <row r="172" spans="1:1" x14ac:dyDescent="0.25">
      <c r="A172" s="205" t="s">
        <v>958</v>
      </c>
    </row>
    <row r="173" spans="1:1" x14ac:dyDescent="0.25">
      <c r="A173" s="205" t="s">
        <v>959</v>
      </c>
    </row>
    <row r="174" spans="1:1" x14ac:dyDescent="0.25">
      <c r="A174" s="205" t="s">
        <v>960</v>
      </c>
    </row>
    <row r="175" spans="1:1" x14ac:dyDescent="0.25">
      <c r="A175" s="205" t="s">
        <v>961</v>
      </c>
    </row>
    <row r="176" spans="1:1" x14ac:dyDescent="0.25">
      <c r="A176" s="205" t="s">
        <v>962</v>
      </c>
    </row>
    <row r="177" spans="1:1" x14ac:dyDescent="0.25">
      <c r="A177" s="205" t="s">
        <v>963</v>
      </c>
    </row>
    <row r="178" spans="1:1" x14ac:dyDescent="0.25">
      <c r="A178" s="205" t="s">
        <v>964</v>
      </c>
    </row>
    <row r="179" spans="1:1" x14ac:dyDescent="0.25">
      <c r="A179" s="205" t="s">
        <v>965</v>
      </c>
    </row>
    <row r="180" spans="1:1" x14ac:dyDescent="0.25">
      <c r="A180" s="205" t="s">
        <v>966</v>
      </c>
    </row>
    <row r="181" spans="1:1" x14ac:dyDescent="0.25">
      <c r="A181" s="205" t="s">
        <v>967</v>
      </c>
    </row>
    <row r="182" spans="1:1" x14ac:dyDescent="0.25">
      <c r="A182" s="205" t="s">
        <v>968</v>
      </c>
    </row>
    <row r="183" spans="1:1" x14ac:dyDescent="0.25">
      <c r="A183" s="205" t="s">
        <v>969</v>
      </c>
    </row>
    <row r="184" spans="1:1" x14ac:dyDescent="0.25">
      <c r="A184" s="205" t="s">
        <v>834</v>
      </c>
    </row>
    <row r="185" spans="1:1" x14ac:dyDescent="0.25">
      <c r="A185" s="205" t="s">
        <v>243</v>
      </c>
    </row>
    <row r="186" spans="1:1" x14ac:dyDescent="0.25">
      <c r="A186" s="205" t="s">
        <v>251</v>
      </c>
    </row>
    <row r="187" spans="1:1" x14ac:dyDescent="0.25">
      <c r="A187" s="205" t="s">
        <v>835</v>
      </c>
    </row>
    <row r="188" spans="1:1" x14ac:dyDescent="0.25">
      <c r="A188" s="205" t="s">
        <v>835</v>
      </c>
    </row>
    <row r="189" spans="1:1" x14ac:dyDescent="0.25">
      <c r="A189" s="205" t="s">
        <v>835</v>
      </c>
    </row>
    <row r="190" spans="1:1" x14ac:dyDescent="0.25">
      <c r="A190" s="205" t="s">
        <v>835</v>
      </c>
    </row>
    <row r="191" spans="1:1" x14ac:dyDescent="0.25">
      <c r="A191" s="205" t="s">
        <v>835</v>
      </c>
    </row>
    <row r="192" spans="1:1" x14ac:dyDescent="0.25">
      <c r="A192" s="205" t="s">
        <v>835</v>
      </c>
    </row>
    <row r="193" spans="1:1" x14ac:dyDescent="0.25">
      <c r="A193" s="205" t="s">
        <v>835</v>
      </c>
    </row>
    <row r="194" spans="1:1" x14ac:dyDescent="0.25">
      <c r="A194" s="205" t="s">
        <v>835</v>
      </c>
    </row>
    <row r="195" spans="1:1" x14ac:dyDescent="0.25">
      <c r="A195" s="205" t="s">
        <v>835</v>
      </c>
    </row>
    <row r="196" spans="1:1" x14ac:dyDescent="0.25">
      <c r="A196" s="205" t="s">
        <v>835</v>
      </c>
    </row>
    <row r="197" spans="1:1" x14ac:dyDescent="0.25">
      <c r="A197" s="205" t="s">
        <v>835</v>
      </c>
    </row>
    <row r="198" spans="1:1" x14ac:dyDescent="0.25">
      <c r="A198" s="205" t="s">
        <v>835</v>
      </c>
    </row>
    <row r="199" spans="1:1" x14ac:dyDescent="0.25">
      <c r="A199" s="205" t="s">
        <v>835</v>
      </c>
    </row>
    <row r="200" spans="1:1" x14ac:dyDescent="0.25">
      <c r="A200" s="205" t="s">
        <v>835</v>
      </c>
    </row>
    <row r="201" spans="1:1" x14ac:dyDescent="0.25">
      <c r="A201" s="205" t="s">
        <v>835</v>
      </c>
    </row>
    <row r="202" spans="1:1" x14ac:dyDescent="0.25">
      <c r="A202" s="205" t="s">
        <v>835</v>
      </c>
    </row>
    <row r="203" spans="1:1" x14ac:dyDescent="0.25">
      <c r="A203" s="205" t="s">
        <v>835</v>
      </c>
    </row>
    <row r="204" spans="1:1" x14ac:dyDescent="0.25">
      <c r="A204" s="205" t="s">
        <v>835</v>
      </c>
    </row>
    <row r="205" spans="1:1" x14ac:dyDescent="0.25">
      <c r="A205" s="205" t="s">
        <v>835</v>
      </c>
    </row>
    <row r="206" spans="1:1" x14ac:dyDescent="0.25">
      <c r="A206" s="205" t="s">
        <v>835</v>
      </c>
    </row>
    <row r="207" spans="1:1" x14ac:dyDescent="0.25">
      <c r="A207" s="205" t="s">
        <v>835</v>
      </c>
    </row>
    <row r="208" spans="1:1" x14ac:dyDescent="0.25">
      <c r="A208" s="205" t="s">
        <v>835</v>
      </c>
    </row>
    <row r="209" spans="1:1" x14ac:dyDescent="0.25">
      <c r="A209" s="205" t="s">
        <v>835</v>
      </c>
    </row>
    <row r="210" spans="1:1" x14ac:dyDescent="0.25">
      <c r="A210" s="205" t="s">
        <v>835</v>
      </c>
    </row>
    <row r="211" spans="1:1" x14ac:dyDescent="0.25">
      <c r="A211" s="205" t="s">
        <v>835</v>
      </c>
    </row>
    <row r="212" spans="1:1" x14ac:dyDescent="0.25">
      <c r="A212" s="205" t="s">
        <v>835</v>
      </c>
    </row>
    <row r="213" spans="1:1" x14ac:dyDescent="0.25">
      <c r="A213" s="205" t="s">
        <v>835</v>
      </c>
    </row>
    <row r="214" spans="1:1" x14ac:dyDescent="0.25">
      <c r="A214" s="205" t="s">
        <v>835</v>
      </c>
    </row>
    <row r="215" spans="1:1" x14ac:dyDescent="0.25">
      <c r="A215" s="205" t="s">
        <v>835</v>
      </c>
    </row>
    <row r="216" spans="1:1" x14ac:dyDescent="0.25">
      <c r="A216" s="205" t="s">
        <v>835</v>
      </c>
    </row>
    <row r="217" spans="1:1" x14ac:dyDescent="0.25">
      <c r="A217" s="205" t="s">
        <v>835</v>
      </c>
    </row>
    <row r="218" spans="1:1" x14ac:dyDescent="0.25">
      <c r="A218" s="205" t="s">
        <v>835</v>
      </c>
    </row>
    <row r="219" spans="1:1" x14ac:dyDescent="0.25">
      <c r="A219" s="205" t="s">
        <v>835</v>
      </c>
    </row>
    <row r="220" spans="1:1" x14ac:dyDescent="0.25">
      <c r="A220" s="205" t="s">
        <v>835</v>
      </c>
    </row>
    <row r="221" spans="1:1" x14ac:dyDescent="0.25">
      <c r="A221" s="205" t="s">
        <v>835</v>
      </c>
    </row>
    <row r="222" spans="1:1" x14ac:dyDescent="0.25">
      <c r="A222" s="205" t="s">
        <v>835</v>
      </c>
    </row>
    <row r="223" spans="1:1" x14ac:dyDescent="0.25">
      <c r="A223" s="205" t="s">
        <v>835</v>
      </c>
    </row>
    <row r="224" spans="1:1" x14ac:dyDescent="0.25">
      <c r="A224" s="205" t="s">
        <v>835</v>
      </c>
    </row>
    <row r="225" spans="1:1" x14ac:dyDescent="0.25">
      <c r="A225" s="205" t="s">
        <v>835</v>
      </c>
    </row>
    <row r="226" spans="1:1" x14ac:dyDescent="0.25">
      <c r="A226" s="205" t="s">
        <v>835</v>
      </c>
    </row>
    <row r="227" spans="1:1" x14ac:dyDescent="0.25">
      <c r="A227" s="205" t="s">
        <v>835</v>
      </c>
    </row>
    <row r="228" spans="1:1" x14ac:dyDescent="0.25">
      <c r="A228" s="205" t="s">
        <v>835</v>
      </c>
    </row>
    <row r="229" spans="1:1" x14ac:dyDescent="0.25">
      <c r="A229" s="205" t="s">
        <v>835</v>
      </c>
    </row>
    <row r="230" spans="1:1" x14ac:dyDescent="0.25">
      <c r="A230" s="205" t="s">
        <v>835</v>
      </c>
    </row>
    <row r="231" spans="1:1" x14ac:dyDescent="0.25">
      <c r="A231" s="205" t="s">
        <v>835</v>
      </c>
    </row>
    <row r="232" spans="1:1" x14ac:dyDescent="0.25">
      <c r="A232" s="205" t="s">
        <v>835</v>
      </c>
    </row>
    <row r="233" spans="1:1" x14ac:dyDescent="0.25">
      <c r="A233" s="205" t="s">
        <v>836</v>
      </c>
    </row>
    <row r="234" spans="1:1" x14ac:dyDescent="0.25">
      <c r="A234" s="205" t="s">
        <v>837</v>
      </c>
    </row>
    <row r="235" spans="1:1" x14ac:dyDescent="0.25">
      <c r="A235" s="205" t="s">
        <v>838</v>
      </c>
    </row>
    <row r="236" spans="1:1" x14ac:dyDescent="0.25">
      <c r="A236" s="205" t="s">
        <v>839</v>
      </c>
    </row>
    <row r="237" spans="1:1" x14ac:dyDescent="0.25">
      <c r="A237" s="205" t="s">
        <v>840</v>
      </c>
    </row>
    <row r="238" spans="1:1" x14ac:dyDescent="0.25">
      <c r="A238" s="205" t="s">
        <v>841</v>
      </c>
    </row>
    <row r="239" spans="1:1" x14ac:dyDescent="0.25">
      <c r="A239" s="205" t="s">
        <v>842</v>
      </c>
    </row>
    <row r="240" spans="1:1" x14ac:dyDescent="0.25">
      <c r="A240" s="205" t="s">
        <v>843</v>
      </c>
    </row>
    <row r="241" spans="1:1" x14ac:dyDescent="0.25">
      <c r="A241" s="205" t="s">
        <v>844</v>
      </c>
    </row>
    <row r="242" spans="1:1" x14ac:dyDescent="0.25">
      <c r="A242" s="205" t="s">
        <v>845</v>
      </c>
    </row>
    <row r="243" spans="1:1" x14ac:dyDescent="0.25">
      <c r="A243" s="205" t="s">
        <v>846</v>
      </c>
    </row>
    <row r="244" spans="1:1" x14ac:dyDescent="0.25">
      <c r="A244" s="205" t="s">
        <v>847</v>
      </c>
    </row>
    <row r="245" spans="1:1" x14ac:dyDescent="0.25">
      <c r="A245" s="205" t="s">
        <v>848</v>
      </c>
    </row>
    <row r="246" spans="1:1" x14ac:dyDescent="0.25">
      <c r="A246" s="205" t="s">
        <v>849</v>
      </c>
    </row>
    <row r="247" spans="1:1" x14ac:dyDescent="0.25">
      <c r="A247" s="205" t="s">
        <v>850</v>
      </c>
    </row>
    <row r="248" spans="1:1" x14ac:dyDescent="0.25">
      <c r="A248" s="205" t="s">
        <v>851</v>
      </c>
    </row>
    <row r="249" spans="1:1" x14ac:dyDescent="0.25">
      <c r="A249" s="205" t="s">
        <v>852</v>
      </c>
    </row>
    <row r="250" spans="1:1" x14ac:dyDescent="0.25">
      <c r="A250" s="205" t="s">
        <v>853</v>
      </c>
    </row>
    <row r="251" spans="1:1" x14ac:dyDescent="0.25">
      <c r="A251" s="205" t="s">
        <v>854</v>
      </c>
    </row>
    <row r="252" spans="1:1" x14ac:dyDescent="0.25">
      <c r="A252" s="205" t="s">
        <v>855</v>
      </c>
    </row>
    <row r="253" spans="1:1" x14ac:dyDescent="0.25">
      <c r="A253" s="205" t="s">
        <v>856</v>
      </c>
    </row>
    <row r="254" spans="1:1" x14ac:dyDescent="0.25">
      <c r="A254" s="205" t="s">
        <v>857</v>
      </c>
    </row>
    <row r="255" spans="1:1" x14ac:dyDescent="0.25">
      <c r="A255" s="205" t="s">
        <v>858</v>
      </c>
    </row>
    <row r="256" spans="1:1" x14ac:dyDescent="0.25">
      <c r="A256" s="205" t="s">
        <v>859</v>
      </c>
    </row>
    <row r="257" spans="1:1" x14ac:dyDescent="0.25">
      <c r="A257" s="205" t="s">
        <v>860</v>
      </c>
    </row>
    <row r="258" spans="1:1" x14ac:dyDescent="0.25">
      <c r="A258" s="205" t="s">
        <v>861</v>
      </c>
    </row>
    <row r="259" spans="1:1" x14ac:dyDescent="0.25">
      <c r="A259" s="205" t="s">
        <v>862</v>
      </c>
    </row>
    <row r="260" spans="1:1" x14ac:dyDescent="0.25">
      <c r="A260" s="205" t="s">
        <v>863</v>
      </c>
    </row>
    <row r="261" spans="1:1" x14ac:dyDescent="0.25">
      <c r="A261" s="205" t="s">
        <v>864</v>
      </c>
    </row>
    <row r="262" spans="1:1" x14ac:dyDescent="0.25">
      <c r="A262" s="205" t="s">
        <v>865</v>
      </c>
    </row>
    <row r="263" spans="1:1" x14ac:dyDescent="0.25">
      <c r="A263" s="205" t="s">
        <v>866</v>
      </c>
    </row>
    <row r="264" spans="1:1" x14ac:dyDescent="0.25">
      <c r="A264" s="205" t="s">
        <v>867</v>
      </c>
    </row>
    <row r="265" spans="1:1" x14ac:dyDescent="0.25">
      <c r="A265" s="205" t="s">
        <v>868</v>
      </c>
    </row>
    <row r="266" spans="1:1" x14ac:dyDescent="0.25">
      <c r="A266" s="205" t="s">
        <v>869</v>
      </c>
    </row>
    <row r="267" spans="1:1" x14ac:dyDescent="0.25">
      <c r="A267" s="205" t="s">
        <v>870</v>
      </c>
    </row>
    <row r="268" spans="1:1" x14ac:dyDescent="0.25">
      <c r="A268" s="205" t="s">
        <v>871</v>
      </c>
    </row>
    <row r="269" spans="1:1" x14ac:dyDescent="0.25">
      <c r="A269" s="205" t="s">
        <v>872</v>
      </c>
    </row>
    <row r="270" spans="1:1" x14ac:dyDescent="0.25">
      <c r="A270" s="205" t="s">
        <v>873</v>
      </c>
    </row>
    <row r="271" spans="1:1" x14ac:dyDescent="0.25">
      <c r="A271" s="205" t="s">
        <v>874</v>
      </c>
    </row>
    <row r="272" spans="1:1" x14ac:dyDescent="0.25">
      <c r="A272" s="205" t="s">
        <v>875</v>
      </c>
    </row>
    <row r="273" spans="1:1" x14ac:dyDescent="0.25">
      <c r="A273" s="205" t="s">
        <v>876</v>
      </c>
    </row>
    <row r="274" spans="1:1" x14ac:dyDescent="0.25">
      <c r="A274" s="205" t="s">
        <v>877</v>
      </c>
    </row>
    <row r="275" spans="1:1" x14ac:dyDescent="0.25">
      <c r="A275" s="205" t="s">
        <v>877</v>
      </c>
    </row>
    <row r="276" spans="1:1" x14ac:dyDescent="0.25">
      <c r="A276" s="205" t="s">
        <v>878</v>
      </c>
    </row>
    <row r="277" spans="1:1" x14ac:dyDescent="0.25">
      <c r="A277" s="205" t="s">
        <v>878</v>
      </c>
    </row>
    <row r="278" spans="1:1" x14ac:dyDescent="0.25">
      <c r="A278" s="205" t="s">
        <v>879</v>
      </c>
    </row>
    <row r="279" spans="1:1" x14ac:dyDescent="0.25">
      <c r="A279" s="205" t="s">
        <v>880</v>
      </c>
    </row>
    <row r="280" spans="1:1" x14ac:dyDescent="0.25">
      <c r="A280" s="205" t="s">
        <v>880</v>
      </c>
    </row>
    <row r="281" spans="1:1" x14ac:dyDescent="0.25">
      <c r="A281" s="205" t="s">
        <v>880</v>
      </c>
    </row>
    <row r="282" spans="1:1" x14ac:dyDescent="0.25">
      <c r="A282" s="205" t="s">
        <v>881</v>
      </c>
    </row>
    <row r="283" spans="1:1" x14ac:dyDescent="0.25">
      <c r="A283" s="205" t="s">
        <v>882</v>
      </c>
    </row>
    <row r="284" spans="1:1" x14ac:dyDescent="0.25">
      <c r="A284" s="205" t="s">
        <v>882</v>
      </c>
    </row>
    <row r="285" spans="1:1" x14ac:dyDescent="0.25">
      <c r="A285" s="205" t="s">
        <v>882</v>
      </c>
    </row>
    <row r="286" spans="1:1" x14ac:dyDescent="0.25">
      <c r="A286" s="205" t="s">
        <v>882</v>
      </c>
    </row>
    <row r="287" spans="1:1" x14ac:dyDescent="0.25">
      <c r="A287" s="205" t="s">
        <v>883</v>
      </c>
    </row>
    <row r="288" spans="1:1" x14ac:dyDescent="0.25">
      <c r="A288" s="205" t="s">
        <v>883</v>
      </c>
    </row>
    <row r="289" spans="1:1" x14ac:dyDescent="0.25">
      <c r="A289" s="205" t="s">
        <v>883</v>
      </c>
    </row>
    <row r="290" spans="1:1" x14ac:dyDescent="0.25">
      <c r="A290" s="205" t="s">
        <v>883</v>
      </c>
    </row>
    <row r="291" spans="1:1" x14ac:dyDescent="0.25">
      <c r="A291" s="205" t="s">
        <v>883</v>
      </c>
    </row>
    <row r="292" spans="1:1" x14ac:dyDescent="0.25">
      <c r="A292" s="205" t="s">
        <v>883</v>
      </c>
    </row>
    <row r="293" spans="1:1" x14ac:dyDescent="0.25">
      <c r="A293" s="205" t="s">
        <v>883</v>
      </c>
    </row>
    <row r="294" spans="1:1" x14ac:dyDescent="0.25">
      <c r="A294" s="205" t="s">
        <v>883</v>
      </c>
    </row>
    <row r="295" spans="1:1" x14ac:dyDescent="0.25">
      <c r="A295" s="205" t="s">
        <v>884</v>
      </c>
    </row>
    <row r="296" spans="1:1" x14ac:dyDescent="0.25">
      <c r="A296" s="205" t="s">
        <v>885</v>
      </c>
    </row>
    <row r="297" spans="1:1" x14ac:dyDescent="0.25">
      <c r="A297" s="205" t="s">
        <v>885</v>
      </c>
    </row>
    <row r="298" spans="1:1" x14ac:dyDescent="0.25">
      <c r="A298" s="205" t="s">
        <v>886</v>
      </c>
    </row>
    <row r="299" spans="1:1" x14ac:dyDescent="0.25">
      <c r="A299" s="205" t="s">
        <v>887</v>
      </c>
    </row>
    <row r="300" spans="1:1" x14ac:dyDescent="0.25">
      <c r="A300" s="205" t="s">
        <v>888</v>
      </c>
    </row>
    <row r="301" spans="1:1" x14ac:dyDescent="0.25">
      <c r="A301" s="205" t="s">
        <v>889</v>
      </c>
    </row>
    <row r="302" spans="1:1" x14ac:dyDescent="0.25">
      <c r="A302" s="205" t="s">
        <v>890</v>
      </c>
    </row>
    <row r="303" spans="1:1" x14ac:dyDescent="0.25">
      <c r="A303" s="205" t="s">
        <v>891</v>
      </c>
    </row>
    <row r="304" spans="1:1" x14ac:dyDescent="0.25">
      <c r="A304" s="205" t="s">
        <v>892</v>
      </c>
    </row>
    <row r="305" spans="1:1" x14ac:dyDescent="0.25">
      <c r="A305" s="205" t="s">
        <v>893</v>
      </c>
    </row>
    <row r="306" spans="1:1" x14ac:dyDescent="0.25">
      <c r="A306" s="205" t="s">
        <v>894</v>
      </c>
    </row>
    <row r="307" spans="1:1" x14ac:dyDescent="0.25">
      <c r="A307" s="205" t="s">
        <v>895</v>
      </c>
    </row>
    <row r="308" spans="1:1" x14ac:dyDescent="0.25">
      <c r="A308" s="205" t="s">
        <v>243</v>
      </c>
    </row>
    <row r="309" spans="1:1" x14ac:dyDescent="0.25">
      <c r="A309" s="205" t="s">
        <v>269</v>
      </c>
    </row>
    <row r="310" spans="1:1" x14ac:dyDescent="0.25">
      <c r="A310" s="205" t="s">
        <v>252</v>
      </c>
    </row>
    <row r="311" spans="1:1" x14ac:dyDescent="0.25">
      <c r="A311" s="205" t="s">
        <v>253</v>
      </c>
    </row>
    <row r="312" spans="1:1" x14ac:dyDescent="0.25">
      <c r="A312" s="205" t="s">
        <v>235</v>
      </c>
    </row>
    <row r="313" spans="1:1" x14ac:dyDescent="0.25">
      <c r="A313" s="205" t="s">
        <v>240</v>
      </c>
    </row>
    <row r="314" spans="1:1" x14ac:dyDescent="0.25">
      <c r="A314" s="205" t="s">
        <v>396</v>
      </c>
    </row>
    <row r="315" spans="1:1" x14ac:dyDescent="0.25">
      <c r="A315" s="205" t="s">
        <v>970</v>
      </c>
    </row>
    <row r="316" spans="1:1" x14ac:dyDescent="0.25">
      <c r="A316" s="205" t="s">
        <v>241</v>
      </c>
    </row>
    <row r="317" spans="1:1" x14ac:dyDescent="0.25">
      <c r="A317" s="205" t="s">
        <v>242</v>
      </c>
    </row>
    <row r="318" spans="1:1" x14ac:dyDescent="0.25">
      <c r="A318" s="205" t="s">
        <v>833</v>
      </c>
    </row>
    <row r="319" spans="1:1" x14ac:dyDescent="0.25">
      <c r="A319" s="205" t="s">
        <v>243</v>
      </c>
    </row>
    <row r="320" spans="1:1" x14ac:dyDescent="0.25">
      <c r="A320" s="205" t="s">
        <v>244</v>
      </c>
    </row>
    <row r="321" spans="1:1" x14ac:dyDescent="0.25">
      <c r="A321" s="205" t="s">
        <v>769</v>
      </c>
    </row>
    <row r="322" spans="1:1" x14ac:dyDescent="0.25">
      <c r="A322" s="205" t="s">
        <v>243</v>
      </c>
    </row>
    <row r="323" spans="1:1" x14ac:dyDescent="0.25">
      <c r="A323" s="205" t="s">
        <v>269</v>
      </c>
    </row>
    <row r="324" spans="1:1" x14ac:dyDescent="0.25">
      <c r="A324" s="205" t="s">
        <v>245</v>
      </c>
    </row>
    <row r="325" spans="1:1" x14ac:dyDescent="0.25">
      <c r="A325" s="205" t="s">
        <v>246</v>
      </c>
    </row>
    <row r="326" spans="1:1" x14ac:dyDescent="0.25">
      <c r="A326" s="205" t="s">
        <v>304</v>
      </c>
    </row>
    <row r="327" spans="1:1" x14ac:dyDescent="0.25">
      <c r="A327" s="205" t="s">
        <v>901</v>
      </c>
    </row>
    <row r="328" spans="1:1" x14ac:dyDescent="0.25">
      <c r="A328" s="205" t="s">
        <v>902</v>
      </c>
    </row>
    <row r="329" spans="1:1" x14ac:dyDescent="0.25">
      <c r="A329" s="205" t="s">
        <v>904</v>
      </c>
    </row>
    <row r="330" spans="1:1" x14ac:dyDescent="0.25">
      <c r="A330" s="205" t="s">
        <v>246</v>
      </c>
    </row>
    <row r="331" spans="1:1" x14ac:dyDescent="0.25">
      <c r="A331" s="205" t="s">
        <v>250</v>
      </c>
    </row>
    <row r="332" spans="1:1" x14ac:dyDescent="0.25">
      <c r="A332" s="205" t="s">
        <v>242</v>
      </c>
    </row>
    <row r="333" spans="1:1" x14ac:dyDescent="0.25">
      <c r="A333" s="205" t="s">
        <v>463</v>
      </c>
    </row>
    <row r="334" spans="1:1" x14ac:dyDescent="0.25">
      <c r="A334" s="205" t="s">
        <v>464</v>
      </c>
    </row>
    <row r="335" spans="1:1" x14ac:dyDescent="0.25">
      <c r="A335" s="205" t="s">
        <v>465</v>
      </c>
    </row>
    <row r="336" spans="1:1" x14ac:dyDescent="0.25">
      <c r="A336" s="205" t="s">
        <v>466</v>
      </c>
    </row>
    <row r="337" spans="1:1" x14ac:dyDescent="0.25">
      <c r="A337" s="205" t="s">
        <v>467</v>
      </c>
    </row>
    <row r="338" spans="1:1" x14ac:dyDescent="0.25">
      <c r="A338" s="205" t="s">
        <v>468</v>
      </c>
    </row>
    <row r="339" spans="1:1" x14ac:dyDescent="0.25">
      <c r="A339" s="205" t="s">
        <v>469</v>
      </c>
    </row>
    <row r="340" spans="1:1" x14ac:dyDescent="0.25">
      <c r="A340" s="205" t="s">
        <v>470</v>
      </c>
    </row>
    <row r="341" spans="1:1" x14ac:dyDescent="0.25">
      <c r="A341" s="205" t="s">
        <v>471</v>
      </c>
    </row>
    <row r="342" spans="1:1" x14ac:dyDescent="0.25">
      <c r="A342" s="205" t="s">
        <v>472</v>
      </c>
    </row>
    <row r="343" spans="1:1" x14ac:dyDescent="0.25">
      <c r="A343" s="205" t="s">
        <v>473</v>
      </c>
    </row>
    <row r="344" spans="1:1" x14ac:dyDescent="0.25">
      <c r="A344" s="205" t="s">
        <v>474</v>
      </c>
    </row>
    <row r="345" spans="1:1" x14ac:dyDescent="0.25">
      <c r="A345" s="205" t="s">
        <v>475</v>
      </c>
    </row>
    <row r="346" spans="1:1" x14ac:dyDescent="0.25">
      <c r="A346" s="205" t="s">
        <v>476</v>
      </c>
    </row>
    <row r="347" spans="1:1" x14ac:dyDescent="0.25">
      <c r="A347" s="205" t="s">
        <v>477</v>
      </c>
    </row>
    <row r="348" spans="1:1" x14ac:dyDescent="0.25">
      <c r="A348" s="205" t="s">
        <v>478</v>
      </c>
    </row>
    <row r="349" spans="1:1" x14ac:dyDescent="0.25">
      <c r="A349" s="205" t="s">
        <v>479</v>
      </c>
    </row>
    <row r="350" spans="1:1" x14ac:dyDescent="0.25">
      <c r="A350" s="205" t="s">
        <v>480</v>
      </c>
    </row>
    <row r="351" spans="1:1" x14ac:dyDescent="0.25">
      <c r="A351" s="205" t="s">
        <v>481</v>
      </c>
    </row>
    <row r="352" spans="1:1" x14ac:dyDescent="0.25">
      <c r="A352" s="205" t="s">
        <v>482</v>
      </c>
    </row>
    <row r="353" spans="1:1" x14ac:dyDescent="0.25">
      <c r="A353" s="205" t="s">
        <v>483</v>
      </c>
    </row>
    <row r="354" spans="1:1" x14ac:dyDescent="0.25">
      <c r="A354" s="205" t="s">
        <v>484</v>
      </c>
    </row>
    <row r="355" spans="1:1" x14ac:dyDescent="0.25">
      <c r="A355" s="205" t="s">
        <v>485</v>
      </c>
    </row>
    <row r="356" spans="1:1" x14ac:dyDescent="0.25">
      <c r="A356" s="205" t="s">
        <v>486</v>
      </c>
    </row>
    <row r="357" spans="1:1" x14ac:dyDescent="0.25">
      <c r="A357" s="205" t="s">
        <v>487</v>
      </c>
    </row>
    <row r="358" spans="1:1" x14ac:dyDescent="0.25">
      <c r="A358" s="205" t="s">
        <v>488</v>
      </c>
    </row>
    <row r="359" spans="1:1" x14ac:dyDescent="0.25">
      <c r="A359" s="205" t="s">
        <v>489</v>
      </c>
    </row>
    <row r="360" spans="1:1" x14ac:dyDescent="0.25">
      <c r="A360" s="205" t="s">
        <v>490</v>
      </c>
    </row>
    <row r="361" spans="1:1" x14ac:dyDescent="0.25">
      <c r="A361" s="205" t="s">
        <v>491</v>
      </c>
    </row>
    <row r="362" spans="1:1" x14ac:dyDescent="0.25">
      <c r="A362" s="205" t="s">
        <v>492</v>
      </c>
    </row>
    <row r="363" spans="1:1" x14ac:dyDescent="0.25">
      <c r="A363" s="205" t="s">
        <v>493</v>
      </c>
    </row>
    <row r="364" spans="1:1" x14ac:dyDescent="0.25">
      <c r="A364" s="205" t="s">
        <v>494</v>
      </c>
    </row>
    <row r="365" spans="1:1" x14ac:dyDescent="0.25">
      <c r="A365" s="205" t="s">
        <v>495</v>
      </c>
    </row>
    <row r="366" spans="1:1" x14ac:dyDescent="0.25">
      <c r="A366" s="205" t="s">
        <v>496</v>
      </c>
    </row>
    <row r="367" spans="1:1" x14ac:dyDescent="0.25">
      <c r="A367" s="205" t="s">
        <v>497</v>
      </c>
    </row>
    <row r="368" spans="1:1" x14ac:dyDescent="0.25">
      <c r="A368" s="205" t="s">
        <v>498</v>
      </c>
    </row>
    <row r="369" spans="1:1" x14ac:dyDescent="0.25">
      <c r="A369" s="205" t="s">
        <v>499</v>
      </c>
    </row>
    <row r="370" spans="1:1" x14ac:dyDescent="0.25">
      <c r="A370" s="205" t="s">
        <v>500</v>
      </c>
    </row>
    <row r="371" spans="1:1" x14ac:dyDescent="0.25">
      <c r="A371" s="205" t="s">
        <v>501</v>
      </c>
    </row>
    <row r="372" spans="1:1" x14ac:dyDescent="0.25">
      <c r="A372" s="205" t="s">
        <v>502</v>
      </c>
    </row>
    <row r="373" spans="1:1" x14ac:dyDescent="0.25">
      <c r="A373" s="205" t="s">
        <v>503</v>
      </c>
    </row>
    <row r="374" spans="1:1" x14ac:dyDescent="0.25">
      <c r="A374" s="205" t="s">
        <v>504</v>
      </c>
    </row>
    <row r="375" spans="1:1" x14ac:dyDescent="0.25">
      <c r="A375" s="205" t="s">
        <v>505</v>
      </c>
    </row>
    <row r="376" spans="1:1" x14ac:dyDescent="0.25">
      <c r="A376" s="205" t="s">
        <v>506</v>
      </c>
    </row>
    <row r="377" spans="1:1" x14ac:dyDescent="0.25">
      <c r="A377" s="205" t="s">
        <v>507</v>
      </c>
    </row>
    <row r="378" spans="1:1" x14ac:dyDescent="0.25">
      <c r="A378" s="205" t="s">
        <v>508</v>
      </c>
    </row>
    <row r="379" spans="1:1" x14ac:dyDescent="0.25">
      <c r="A379" s="205" t="s">
        <v>509</v>
      </c>
    </row>
    <row r="380" spans="1:1" x14ac:dyDescent="0.25">
      <c r="A380" s="205" t="s">
        <v>510</v>
      </c>
    </row>
    <row r="381" spans="1:1" x14ac:dyDescent="0.25">
      <c r="A381" s="205" t="s">
        <v>511</v>
      </c>
    </row>
    <row r="382" spans="1:1" x14ac:dyDescent="0.25">
      <c r="A382" s="205" t="s">
        <v>512</v>
      </c>
    </row>
    <row r="383" spans="1:1" x14ac:dyDescent="0.25">
      <c r="A383" s="205" t="s">
        <v>513</v>
      </c>
    </row>
    <row r="384" spans="1:1" x14ac:dyDescent="0.25">
      <c r="A384" s="205" t="s">
        <v>514</v>
      </c>
    </row>
    <row r="385" spans="1:1" x14ac:dyDescent="0.25">
      <c r="A385" s="205" t="s">
        <v>515</v>
      </c>
    </row>
    <row r="386" spans="1:1" x14ac:dyDescent="0.25">
      <c r="A386" s="205" t="s">
        <v>516</v>
      </c>
    </row>
    <row r="387" spans="1:1" x14ac:dyDescent="0.25">
      <c r="A387" s="205" t="s">
        <v>517</v>
      </c>
    </row>
    <row r="388" spans="1:1" x14ac:dyDescent="0.25">
      <c r="A388" s="205" t="s">
        <v>518</v>
      </c>
    </row>
    <row r="389" spans="1:1" x14ac:dyDescent="0.25">
      <c r="A389" s="205" t="s">
        <v>519</v>
      </c>
    </row>
    <row r="390" spans="1:1" x14ac:dyDescent="0.25">
      <c r="A390" s="205" t="s">
        <v>520</v>
      </c>
    </row>
    <row r="391" spans="1:1" x14ac:dyDescent="0.25">
      <c r="A391" s="205" t="s">
        <v>521</v>
      </c>
    </row>
    <row r="392" spans="1:1" x14ac:dyDescent="0.25">
      <c r="A392" s="205" t="s">
        <v>522</v>
      </c>
    </row>
    <row r="393" spans="1:1" x14ac:dyDescent="0.25">
      <c r="A393" s="205" t="s">
        <v>523</v>
      </c>
    </row>
    <row r="394" spans="1:1" x14ac:dyDescent="0.25">
      <c r="A394" s="205" t="s">
        <v>524</v>
      </c>
    </row>
    <row r="395" spans="1:1" x14ac:dyDescent="0.25">
      <c r="A395" s="205" t="s">
        <v>525</v>
      </c>
    </row>
    <row r="396" spans="1:1" x14ac:dyDescent="0.25">
      <c r="A396" s="205" t="s">
        <v>526</v>
      </c>
    </row>
    <row r="397" spans="1:1" x14ac:dyDescent="0.25">
      <c r="A397" s="205" t="s">
        <v>527</v>
      </c>
    </row>
    <row r="398" spans="1:1" x14ac:dyDescent="0.25">
      <c r="A398" s="205" t="s">
        <v>528</v>
      </c>
    </row>
    <row r="399" spans="1:1" x14ac:dyDescent="0.25">
      <c r="A399" s="205" t="s">
        <v>529</v>
      </c>
    </row>
    <row r="400" spans="1:1" x14ac:dyDescent="0.25">
      <c r="A400" s="205" t="s">
        <v>530</v>
      </c>
    </row>
    <row r="401" spans="1:1" x14ac:dyDescent="0.25">
      <c r="A401" s="205" t="s">
        <v>531</v>
      </c>
    </row>
    <row r="402" spans="1:1" x14ac:dyDescent="0.25">
      <c r="A402" s="205" t="s">
        <v>532</v>
      </c>
    </row>
    <row r="403" spans="1:1" x14ac:dyDescent="0.25">
      <c r="A403" s="205" t="s">
        <v>533</v>
      </c>
    </row>
    <row r="404" spans="1:1" x14ac:dyDescent="0.25">
      <c r="A404" s="205" t="s">
        <v>534</v>
      </c>
    </row>
    <row r="405" spans="1:1" x14ac:dyDescent="0.25">
      <c r="A405" s="205" t="s">
        <v>535</v>
      </c>
    </row>
    <row r="406" spans="1:1" x14ac:dyDescent="0.25">
      <c r="A406" s="205" t="s">
        <v>536</v>
      </c>
    </row>
    <row r="407" spans="1:1" x14ac:dyDescent="0.25">
      <c r="A407" s="205" t="s">
        <v>537</v>
      </c>
    </row>
    <row r="408" spans="1:1" x14ac:dyDescent="0.25">
      <c r="A408" s="205" t="s">
        <v>538</v>
      </c>
    </row>
    <row r="409" spans="1:1" x14ac:dyDescent="0.25">
      <c r="A409" s="205" t="s">
        <v>539</v>
      </c>
    </row>
    <row r="410" spans="1:1" x14ac:dyDescent="0.25">
      <c r="A410" s="205" t="s">
        <v>540</v>
      </c>
    </row>
    <row r="411" spans="1:1" x14ac:dyDescent="0.25">
      <c r="A411" s="205" t="s">
        <v>541</v>
      </c>
    </row>
    <row r="412" spans="1:1" x14ac:dyDescent="0.25">
      <c r="A412" s="205" t="s">
        <v>542</v>
      </c>
    </row>
    <row r="413" spans="1:1" x14ac:dyDescent="0.25">
      <c r="A413" s="205" t="s">
        <v>543</v>
      </c>
    </row>
    <row r="414" spans="1:1" x14ac:dyDescent="0.25">
      <c r="A414" s="205" t="s">
        <v>544</v>
      </c>
    </row>
    <row r="415" spans="1:1" x14ac:dyDescent="0.25">
      <c r="A415" s="205" t="s">
        <v>545</v>
      </c>
    </row>
    <row r="416" spans="1:1" x14ac:dyDescent="0.25">
      <c r="A416" s="205" t="s">
        <v>546</v>
      </c>
    </row>
    <row r="417" spans="1:1" x14ac:dyDescent="0.25">
      <c r="A417" s="205" t="s">
        <v>547</v>
      </c>
    </row>
    <row r="418" spans="1:1" x14ac:dyDescent="0.25">
      <c r="A418" s="205" t="s">
        <v>548</v>
      </c>
    </row>
    <row r="419" spans="1:1" x14ac:dyDescent="0.25">
      <c r="A419" s="205" t="s">
        <v>549</v>
      </c>
    </row>
    <row r="420" spans="1:1" x14ac:dyDescent="0.25">
      <c r="A420" s="205" t="s">
        <v>550</v>
      </c>
    </row>
    <row r="421" spans="1:1" x14ac:dyDescent="0.25">
      <c r="A421" s="205" t="s">
        <v>551</v>
      </c>
    </row>
    <row r="422" spans="1:1" x14ac:dyDescent="0.25">
      <c r="A422" s="205" t="s">
        <v>552</v>
      </c>
    </row>
    <row r="423" spans="1:1" x14ac:dyDescent="0.25">
      <c r="A423" s="205" t="s">
        <v>553</v>
      </c>
    </row>
    <row r="424" spans="1:1" x14ac:dyDescent="0.25">
      <c r="A424" s="205" t="s">
        <v>554</v>
      </c>
    </row>
    <row r="425" spans="1:1" x14ac:dyDescent="0.25">
      <c r="A425" s="205" t="s">
        <v>555</v>
      </c>
    </row>
    <row r="426" spans="1:1" x14ac:dyDescent="0.25">
      <c r="A426" s="205" t="s">
        <v>556</v>
      </c>
    </row>
    <row r="427" spans="1:1" x14ac:dyDescent="0.25">
      <c r="A427" s="205" t="s">
        <v>557</v>
      </c>
    </row>
    <row r="428" spans="1:1" x14ac:dyDescent="0.25">
      <c r="A428" s="205" t="s">
        <v>558</v>
      </c>
    </row>
    <row r="429" spans="1:1" x14ac:dyDescent="0.25">
      <c r="A429" s="205" t="s">
        <v>559</v>
      </c>
    </row>
    <row r="430" spans="1:1" x14ac:dyDescent="0.25">
      <c r="A430" s="205" t="s">
        <v>560</v>
      </c>
    </row>
    <row r="431" spans="1:1" x14ac:dyDescent="0.25">
      <c r="A431" s="205" t="s">
        <v>561</v>
      </c>
    </row>
    <row r="432" spans="1:1" x14ac:dyDescent="0.25">
      <c r="A432" s="205" t="s">
        <v>562</v>
      </c>
    </row>
    <row r="433" spans="1:1" x14ac:dyDescent="0.25">
      <c r="A433" s="205" t="s">
        <v>563</v>
      </c>
    </row>
    <row r="434" spans="1:1" x14ac:dyDescent="0.25">
      <c r="A434" s="205" t="s">
        <v>564</v>
      </c>
    </row>
    <row r="435" spans="1:1" x14ac:dyDescent="0.25">
      <c r="A435" s="205" t="s">
        <v>565</v>
      </c>
    </row>
    <row r="436" spans="1:1" x14ac:dyDescent="0.25">
      <c r="A436" s="205" t="s">
        <v>566</v>
      </c>
    </row>
    <row r="437" spans="1:1" x14ac:dyDescent="0.25">
      <c r="A437" s="205" t="s">
        <v>567</v>
      </c>
    </row>
    <row r="438" spans="1:1" x14ac:dyDescent="0.25">
      <c r="A438" s="205" t="s">
        <v>568</v>
      </c>
    </row>
    <row r="439" spans="1:1" x14ac:dyDescent="0.25">
      <c r="A439" s="205" t="s">
        <v>569</v>
      </c>
    </row>
    <row r="440" spans="1:1" x14ac:dyDescent="0.25">
      <c r="A440" s="205" t="s">
        <v>570</v>
      </c>
    </row>
    <row r="441" spans="1:1" x14ac:dyDescent="0.25">
      <c r="A441" s="205" t="s">
        <v>571</v>
      </c>
    </row>
    <row r="442" spans="1:1" x14ac:dyDescent="0.25">
      <c r="A442" s="205" t="s">
        <v>572</v>
      </c>
    </row>
    <row r="443" spans="1:1" x14ac:dyDescent="0.25">
      <c r="A443" s="205" t="s">
        <v>573</v>
      </c>
    </row>
    <row r="444" spans="1:1" x14ac:dyDescent="0.25">
      <c r="A444" s="205" t="s">
        <v>574</v>
      </c>
    </row>
    <row r="445" spans="1:1" x14ac:dyDescent="0.25">
      <c r="A445" s="205" t="s">
        <v>575</v>
      </c>
    </row>
    <row r="446" spans="1:1" x14ac:dyDescent="0.25">
      <c r="A446" s="205" t="s">
        <v>576</v>
      </c>
    </row>
    <row r="447" spans="1:1" x14ac:dyDescent="0.25">
      <c r="A447" s="205" t="s">
        <v>577</v>
      </c>
    </row>
    <row r="448" spans="1:1" x14ac:dyDescent="0.25">
      <c r="A448" s="205" t="s">
        <v>578</v>
      </c>
    </row>
    <row r="449" spans="1:1" x14ac:dyDescent="0.25">
      <c r="A449" s="205" t="s">
        <v>579</v>
      </c>
    </row>
    <row r="450" spans="1:1" x14ac:dyDescent="0.25">
      <c r="A450" s="205" t="s">
        <v>580</v>
      </c>
    </row>
    <row r="451" spans="1:1" x14ac:dyDescent="0.25">
      <c r="A451" s="205" t="s">
        <v>581</v>
      </c>
    </row>
    <row r="452" spans="1:1" x14ac:dyDescent="0.25">
      <c r="A452" s="205" t="s">
        <v>582</v>
      </c>
    </row>
    <row r="453" spans="1:1" x14ac:dyDescent="0.25">
      <c r="A453" s="205" t="s">
        <v>583</v>
      </c>
    </row>
    <row r="454" spans="1:1" x14ac:dyDescent="0.25">
      <c r="A454" s="205" t="s">
        <v>584</v>
      </c>
    </row>
    <row r="455" spans="1:1" x14ac:dyDescent="0.25">
      <c r="A455" s="205" t="s">
        <v>585</v>
      </c>
    </row>
    <row r="456" spans="1:1" x14ac:dyDescent="0.25">
      <c r="A456" s="205" t="s">
        <v>586</v>
      </c>
    </row>
    <row r="457" spans="1:1" x14ac:dyDescent="0.25">
      <c r="A457" s="205" t="s">
        <v>587</v>
      </c>
    </row>
    <row r="458" spans="1:1" x14ac:dyDescent="0.25">
      <c r="A458" s="205" t="s">
        <v>588</v>
      </c>
    </row>
    <row r="459" spans="1:1" x14ac:dyDescent="0.25">
      <c r="A459" s="205" t="s">
        <v>589</v>
      </c>
    </row>
    <row r="460" spans="1:1" x14ac:dyDescent="0.25">
      <c r="A460" s="205" t="s">
        <v>590</v>
      </c>
    </row>
    <row r="461" spans="1:1" x14ac:dyDescent="0.25">
      <c r="A461" s="205" t="s">
        <v>591</v>
      </c>
    </row>
    <row r="462" spans="1:1" x14ac:dyDescent="0.25">
      <c r="A462" s="205" t="s">
        <v>592</v>
      </c>
    </row>
    <row r="463" spans="1:1" x14ac:dyDescent="0.25">
      <c r="A463" s="205" t="s">
        <v>593</v>
      </c>
    </row>
    <row r="464" spans="1:1" x14ac:dyDescent="0.25">
      <c r="A464" s="205" t="s">
        <v>594</v>
      </c>
    </row>
    <row r="465" spans="1:1" x14ac:dyDescent="0.25">
      <c r="A465" s="205" t="s">
        <v>595</v>
      </c>
    </row>
    <row r="466" spans="1:1" x14ac:dyDescent="0.25">
      <c r="A466" s="205" t="s">
        <v>596</v>
      </c>
    </row>
    <row r="467" spans="1:1" x14ac:dyDescent="0.25">
      <c r="A467" s="205" t="s">
        <v>597</v>
      </c>
    </row>
    <row r="468" spans="1:1" x14ac:dyDescent="0.25">
      <c r="A468" s="205" t="s">
        <v>598</v>
      </c>
    </row>
    <row r="469" spans="1:1" x14ac:dyDescent="0.25">
      <c r="A469" s="205" t="s">
        <v>599</v>
      </c>
    </row>
    <row r="470" spans="1:1" x14ac:dyDescent="0.25">
      <c r="A470" s="205" t="s">
        <v>600</v>
      </c>
    </row>
    <row r="471" spans="1:1" x14ac:dyDescent="0.25">
      <c r="A471" s="205" t="s">
        <v>601</v>
      </c>
    </row>
    <row r="472" spans="1:1" x14ac:dyDescent="0.25">
      <c r="A472" s="205" t="s">
        <v>602</v>
      </c>
    </row>
    <row r="473" spans="1:1" x14ac:dyDescent="0.25">
      <c r="A473" s="205" t="s">
        <v>603</v>
      </c>
    </row>
    <row r="474" spans="1:1" x14ac:dyDescent="0.25">
      <c r="A474" s="205" t="s">
        <v>604</v>
      </c>
    </row>
    <row r="475" spans="1:1" x14ac:dyDescent="0.25">
      <c r="A475" s="205" t="s">
        <v>605</v>
      </c>
    </row>
    <row r="476" spans="1:1" x14ac:dyDescent="0.25">
      <c r="A476" s="205" t="s">
        <v>606</v>
      </c>
    </row>
    <row r="477" spans="1:1" x14ac:dyDescent="0.25">
      <c r="A477" s="205" t="s">
        <v>607</v>
      </c>
    </row>
    <row r="478" spans="1:1" x14ac:dyDescent="0.25">
      <c r="A478" s="205" t="s">
        <v>608</v>
      </c>
    </row>
    <row r="479" spans="1:1" x14ac:dyDescent="0.25">
      <c r="A479" s="205" t="s">
        <v>609</v>
      </c>
    </row>
    <row r="480" spans="1:1" x14ac:dyDescent="0.25">
      <c r="A480" s="205" t="s">
        <v>610</v>
      </c>
    </row>
    <row r="481" spans="1:1" x14ac:dyDescent="0.25">
      <c r="A481" s="205" t="s">
        <v>611</v>
      </c>
    </row>
    <row r="482" spans="1:1" x14ac:dyDescent="0.25">
      <c r="A482" s="205" t="s">
        <v>612</v>
      </c>
    </row>
    <row r="483" spans="1:1" x14ac:dyDescent="0.25">
      <c r="A483" s="205" t="s">
        <v>613</v>
      </c>
    </row>
    <row r="484" spans="1:1" x14ac:dyDescent="0.25">
      <c r="A484" s="205" t="s">
        <v>614</v>
      </c>
    </row>
    <row r="485" spans="1:1" x14ac:dyDescent="0.25">
      <c r="A485" s="205" t="s">
        <v>615</v>
      </c>
    </row>
    <row r="486" spans="1:1" x14ac:dyDescent="0.25">
      <c r="A486" s="205" t="s">
        <v>616</v>
      </c>
    </row>
    <row r="487" spans="1:1" x14ac:dyDescent="0.25">
      <c r="A487" s="205" t="s">
        <v>617</v>
      </c>
    </row>
    <row r="488" spans="1:1" x14ac:dyDescent="0.25">
      <c r="A488" s="205" t="s">
        <v>618</v>
      </c>
    </row>
    <row r="489" spans="1:1" x14ac:dyDescent="0.25">
      <c r="A489" s="205" t="s">
        <v>619</v>
      </c>
    </row>
    <row r="490" spans="1:1" x14ac:dyDescent="0.25">
      <c r="A490" s="205" t="s">
        <v>620</v>
      </c>
    </row>
    <row r="491" spans="1:1" x14ac:dyDescent="0.25">
      <c r="A491" s="205" t="s">
        <v>621</v>
      </c>
    </row>
    <row r="492" spans="1:1" x14ac:dyDescent="0.25">
      <c r="A492" s="205" t="s">
        <v>622</v>
      </c>
    </row>
    <row r="493" spans="1:1" x14ac:dyDescent="0.25">
      <c r="A493" s="205" t="s">
        <v>623</v>
      </c>
    </row>
    <row r="494" spans="1:1" x14ac:dyDescent="0.25">
      <c r="A494" s="205" t="s">
        <v>624</v>
      </c>
    </row>
    <row r="495" spans="1:1" x14ac:dyDescent="0.25">
      <c r="A495" s="205" t="s">
        <v>625</v>
      </c>
    </row>
    <row r="496" spans="1:1" x14ac:dyDescent="0.25">
      <c r="A496" s="205" t="s">
        <v>626</v>
      </c>
    </row>
    <row r="497" spans="1:1" x14ac:dyDescent="0.25">
      <c r="A497" s="205" t="s">
        <v>627</v>
      </c>
    </row>
    <row r="498" spans="1:1" x14ac:dyDescent="0.25">
      <c r="A498" s="205" t="s">
        <v>628</v>
      </c>
    </row>
    <row r="499" spans="1:1" x14ac:dyDescent="0.25">
      <c r="A499" s="205" t="s">
        <v>629</v>
      </c>
    </row>
    <row r="500" spans="1:1" x14ac:dyDescent="0.25">
      <c r="A500" s="205" t="s">
        <v>630</v>
      </c>
    </row>
    <row r="501" spans="1:1" x14ac:dyDescent="0.25">
      <c r="A501" s="205" t="s">
        <v>631</v>
      </c>
    </row>
    <row r="502" spans="1:1" x14ac:dyDescent="0.25">
      <c r="A502" s="205" t="s">
        <v>632</v>
      </c>
    </row>
    <row r="503" spans="1:1" x14ac:dyDescent="0.25">
      <c r="A503" s="205" t="s">
        <v>633</v>
      </c>
    </row>
    <row r="504" spans="1:1" x14ac:dyDescent="0.25">
      <c r="A504" s="205" t="s">
        <v>634</v>
      </c>
    </row>
    <row r="505" spans="1:1" x14ac:dyDescent="0.25">
      <c r="A505" s="205" t="s">
        <v>635</v>
      </c>
    </row>
    <row r="506" spans="1:1" x14ac:dyDescent="0.25">
      <c r="A506" s="205" t="s">
        <v>636</v>
      </c>
    </row>
    <row r="507" spans="1:1" x14ac:dyDescent="0.25">
      <c r="A507" s="205" t="s">
        <v>637</v>
      </c>
    </row>
    <row r="508" spans="1:1" x14ac:dyDescent="0.25">
      <c r="A508" s="205" t="s">
        <v>638</v>
      </c>
    </row>
    <row r="509" spans="1:1" x14ac:dyDescent="0.25">
      <c r="A509" s="205" t="s">
        <v>639</v>
      </c>
    </row>
    <row r="510" spans="1:1" x14ac:dyDescent="0.25">
      <c r="A510" s="205" t="s">
        <v>640</v>
      </c>
    </row>
    <row r="511" spans="1:1" x14ac:dyDescent="0.25">
      <c r="A511" s="205" t="s">
        <v>641</v>
      </c>
    </row>
    <row r="512" spans="1:1" x14ac:dyDescent="0.25">
      <c r="A512" s="205" t="s">
        <v>642</v>
      </c>
    </row>
    <row r="513" spans="1:1" x14ac:dyDescent="0.25">
      <c r="A513" s="205" t="s">
        <v>643</v>
      </c>
    </row>
    <row r="514" spans="1:1" x14ac:dyDescent="0.25">
      <c r="A514" s="205" t="s">
        <v>644</v>
      </c>
    </row>
    <row r="515" spans="1:1" x14ac:dyDescent="0.25">
      <c r="A515" s="205" t="s">
        <v>645</v>
      </c>
    </row>
    <row r="516" spans="1:1" x14ac:dyDescent="0.25">
      <c r="A516" s="205" t="s">
        <v>646</v>
      </c>
    </row>
    <row r="517" spans="1:1" x14ac:dyDescent="0.25">
      <c r="A517" s="205" t="s">
        <v>647</v>
      </c>
    </row>
    <row r="518" spans="1:1" x14ac:dyDescent="0.25">
      <c r="A518" s="205" t="s">
        <v>648</v>
      </c>
    </row>
    <row r="519" spans="1:1" x14ac:dyDescent="0.25">
      <c r="A519" s="205" t="s">
        <v>649</v>
      </c>
    </row>
    <row r="520" spans="1:1" x14ac:dyDescent="0.25">
      <c r="A520" s="205" t="s">
        <v>650</v>
      </c>
    </row>
    <row r="521" spans="1:1" x14ac:dyDescent="0.25">
      <c r="A521" s="205" t="s">
        <v>651</v>
      </c>
    </row>
    <row r="522" spans="1:1" x14ac:dyDescent="0.25">
      <c r="A522" s="205" t="s">
        <v>652</v>
      </c>
    </row>
    <row r="523" spans="1:1" x14ac:dyDescent="0.25">
      <c r="A523" s="205" t="s">
        <v>653</v>
      </c>
    </row>
    <row r="524" spans="1:1" x14ac:dyDescent="0.25">
      <c r="A524" s="205" t="s">
        <v>654</v>
      </c>
    </row>
    <row r="525" spans="1:1" x14ac:dyDescent="0.25">
      <c r="A525" s="205" t="s">
        <v>655</v>
      </c>
    </row>
    <row r="526" spans="1:1" x14ac:dyDescent="0.25">
      <c r="A526" s="205" t="s">
        <v>656</v>
      </c>
    </row>
    <row r="527" spans="1:1" x14ac:dyDescent="0.25">
      <c r="A527" s="205" t="s">
        <v>657</v>
      </c>
    </row>
    <row r="528" spans="1:1" x14ac:dyDescent="0.25">
      <c r="A528" s="205" t="s">
        <v>658</v>
      </c>
    </row>
    <row r="529" spans="1:1" x14ac:dyDescent="0.25">
      <c r="A529" s="205" t="s">
        <v>659</v>
      </c>
    </row>
    <row r="530" spans="1:1" x14ac:dyDescent="0.25">
      <c r="A530" s="205" t="s">
        <v>660</v>
      </c>
    </row>
    <row r="531" spans="1:1" x14ac:dyDescent="0.25">
      <c r="A531" s="205" t="s">
        <v>661</v>
      </c>
    </row>
    <row r="532" spans="1:1" x14ac:dyDescent="0.25">
      <c r="A532" s="205" t="s">
        <v>971</v>
      </c>
    </row>
    <row r="533" spans="1:1" x14ac:dyDescent="0.25">
      <c r="A533" s="205" t="s">
        <v>834</v>
      </c>
    </row>
    <row r="534" spans="1:1" x14ac:dyDescent="0.25">
      <c r="A534" s="205" t="s">
        <v>243</v>
      </c>
    </row>
    <row r="535" spans="1:1" x14ac:dyDescent="0.25">
      <c r="A535" s="205" t="s">
        <v>251</v>
      </c>
    </row>
    <row r="536" spans="1:1" x14ac:dyDescent="0.25">
      <c r="A536" s="205" t="s">
        <v>662</v>
      </c>
    </row>
    <row r="537" spans="1:1" x14ac:dyDescent="0.25">
      <c r="A537" s="205" t="s">
        <v>663</v>
      </c>
    </row>
    <row r="538" spans="1:1" x14ac:dyDescent="0.25">
      <c r="A538" s="205" t="s">
        <v>664</v>
      </c>
    </row>
    <row r="539" spans="1:1" x14ac:dyDescent="0.25">
      <c r="A539" s="205" t="s">
        <v>665</v>
      </c>
    </row>
    <row r="540" spans="1:1" x14ac:dyDescent="0.25">
      <c r="A540" s="205" t="s">
        <v>666</v>
      </c>
    </row>
    <row r="541" spans="1:1" x14ac:dyDescent="0.25">
      <c r="A541" s="205" t="s">
        <v>667</v>
      </c>
    </row>
    <row r="542" spans="1:1" x14ac:dyDescent="0.25">
      <c r="A542" s="205" t="s">
        <v>668</v>
      </c>
    </row>
    <row r="543" spans="1:1" x14ac:dyDescent="0.25">
      <c r="A543" s="205" t="s">
        <v>669</v>
      </c>
    </row>
    <row r="544" spans="1:1" x14ac:dyDescent="0.25">
      <c r="A544" s="205" t="s">
        <v>670</v>
      </c>
    </row>
    <row r="545" spans="1:1" x14ac:dyDescent="0.25">
      <c r="A545" s="205" t="s">
        <v>671</v>
      </c>
    </row>
    <row r="546" spans="1:1" x14ac:dyDescent="0.25">
      <c r="A546" s="205" t="s">
        <v>672</v>
      </c>
    </row>
    <row r="547" spans="1:1" x14ac:dyDescent="0.25">
      <c r="A547" s="205" t="s">
        <v>673</v>
      </c>
    </row>
    <row r="548" spans="1:1" x14ac:dyDescent="0.25">
      <c r="A548" s="205" t="s">
        <v>674</v>
      </c>
    </row>
    <row r="549" spans="1:1" x14ac:dyDescent="0.25">
      <c r="A549" s="205" t="s">
        <v>675</v>
      </c>
    </row>
    <row r="550" spans="1:1" x14ac:dyDescent="0.25">
      <c r="A550" s="205" t="s">
        <v>676</v>
      </c>
    </row>
    <row r="551" spans="1:1" x14ac:dyDescent="0.25">
      <c r="A551" s="205" t="s">
        <v>677</v>
      </c>
    </row>
    <row r="552" spans="1:1" x14ac:dyDescent="0.25">
      <c r="A552" s="205" t="s">
        <v>678</v>
      </c>
    </row>
    <row r="553" spans="1:1" x14ac:dyDescent="0.25">
      <c r="A553" s="205" t="s">
        <v>679</v>
      </c>
    </row>
    <row r="554" spans="1:1" x14ac:dyDescent="0.25">
      <c r="A554" s="205" t="s">
        <v>680</v>
      </c>
    </row>
    <row r="555" spans="1:1" x14ac:dyDescent="0.25">
      <c r="A555" s="205" t="s">
        <v>681</v>
      </c>
    </row>
    <row r="556" spans="1:1" x14ac:dyDescent="0.25">
      <c r="A556" s="205" t="s">
        <v>682</v>
      </c>
    </row>
    <row r="557" spans="1:1" x14ac:dyDescent="0.25">
      <c r="A557" s="205" t="s">
        <v>683</v>
      </c>
    </row>
    <row r="558" spans="1:1" x14ac:dyDescent="0.25">
      <c r="A558" s="205" t="s">
        <v>684</v>
      </c>
    </row>
    <row r="559" spans="1:1" x14ac:dyDescent="0.25">
      <c r="A559" s="205" t="s">
        <v>685</v>
      </c>
    </row>
    <row r="560" spans="1:1" x14ac:dyDescent="0.25">
      <c r="A560" s="205" t="s">
        <v>686</v>
      </c>
    </row>
    <row r="561" spans="1:1" x14ac:dyDescent="0.25">
      <c r="A561" s="205" t="s">
        <v>687</v>
      </c>
    </row>
    <row r="562" spans="1:1" x14ac:dyDescent="0.25">
      <c r="A562" s="205" t="s">
        <v>688</v>
      </c>
    </row>
    <row r="563" spans="1:1" x14ac:dyDescent="0.25">
      <c r="A563" s="205" t="s">
        <v>689</v>
      </c>
    </row>
    <row r="564" spans="1:1" x14ac:dyDescent="0.25">
      <c r="A564" s="205" t="s">
        <v>690</v>
      </c>
    </row>
    <row r="565" spans="1:1" x14ac:dyDescent="0.25">
      <c r="A565" s="205" t="s">
        <v>691</v>
      </c>
    </row>
    <row r="566" spans="1:1" x14ac:dyDescent="0.25">
      <c r="A566" s="205" t="s">
        <v>692</v>
      </c>
    </row>
    <row r="567" spans="1:1" x14ac:dyDescent="0.25">
      <c r="A567" s="205" t="s">
        <v>693</v>
      </c>
    </row>
    <row r="568" spans="1:1" x14ac:dyDescent="0.25">
      <c r="A568" s="205" t="s">
        <v>694</v>
      </c>
    </row>
    <row r="569" spans="1:1" x14ac:dyDescent="0.25">
      <c r="A569" s="205" t="s">
        <v>695</v>
      </c>
    </row>
    <row r="570" spans="1:1" x14ac:dyDescent="0.25">
      <c r="A570" s="205" t="s">
        <v>696</v>
      </c>
    </row>
    <row r="571" spans="1:1" x14ac:dyDescent="0.25">
      <c r="A571" s="205" t="s">
        <v>697</v>
      </c>
    </row>
    <row r="572" spans="1:1" x14ac:dyDescent="0.25">
      <c r="A572" s="205" t="s">
        <v>698</v>
      </c>
    </row>
    <row r="573" spans="1:1" x14ac:dyDescent="0.25">
      <c r="A573" s="205" t="s">
        <v>699</v>
      </c>
    </row>
    <row r="574" spans="1:1" x14ac:dyDescent="0.25">
      <c r="A574" s="205" t="s">
        <v>700</v>
      </c>
    </row>
    <row r="575" spans="1:1" x14ac:dyDescent="0.25">
      <c r="A575" s="205" t="s">
        <v>701</v>
      </c>
    </row>
    <row r="576" spans="1:1" x14ac:dyDescent="0.25">
      <c r="A576" s="205" t="s">
        <v>702</v>
      </c>
    </row>
    <row r="577" spans="1:1" x14ac:dyDescent="0.25">
      <c r="A577" s="205" t="s">
        <v>703</v>
      </c>
    </row>
    <row r="578" spans="1:1" x14ac:dyDescent="0.25">
      <c r="A578" s="205" t="s">
        <v>704</v>
      </c>
    </row>
    <row r="579" spans="1:1" x14ac:dyDescent="0.25">
      <c r="A579" s="205" t="s">
        <v>705</v>
      </c>
    </row>
    <row r="580" spans="1:1" x14ac:dyDescent="0.25">
      <c r="A580" s="205" t="s">
        <v>706</v>
      </c>
    </row>
    <row r="581" spans="1:1" x14ac:dyDescent="0.25">
      <c r="A581" s="205" t="s">
        <v>707</v>
      </c>
    </row>
    <row r="582" spans="1:1" x14ac:dyDescent="0.25">
      <c r="A582" s="205" t="s">
        <v>708</v>
      </c>
    </row>
    <row r="583" spans="1:1" x14ac:dyDescent="0.25">
      <c r="A583" s="205" t="s">
        <v>709</v>
      </c>
    </row>
    <row r="584" spans="1:1" x14ac:dyDescent="0.25">
      <c r="A584" s="205" t="s">
        <v>710</v>
      </c>
    </row>
    <row r="585" spans="1:1" x14ac:dyDescent="0.25">
      <c r="A585" s="205" t="s">
        <v>711</v>
      </c>
    </row>
    <row r="586" spans="1:1" x14ac:dyDescent="0.25">
      <c r="A586" s="205" t="s">
        <v>712</v>
      </c>
    </row>
    <row r="587" spans="1:1" x14ac:dyDescent="0.25">
      <c r="A587" s="205" t="s">
        <v>712</v>
      </c>
    </row>
    <row r="588" spans="1:1" x14ac:dyDescent="0.25">
      <c r="A588" s="205" t="s">
        <v>712</v>
      </c>
    </row>
    <row r="589" spans="1:1" x14ac:dyDescent="0.25">
      <c r="A589" s="205" t="s">
        <v>713</v>
      </c>
    </row>
    <row r="590" spans="1:1" x14ac:dyDescent="0.25">
      <c r="A590" s="205" t="s">
        <v>714</v>
      </c>
    </row>
    <row r="591" spans="1:1" x14ac:dyDescent="0.25">
      <c r="A591" s="205" t="s">
        <v>715</v>
      </c>
    </row>
    <row r="592" spans="1:1" x14ac:dyDescent="0.25">
      <c r="A592" s="205" t="s">
        <v>712</v>
      </c>
    </row>
    <row r="593" spans="1:1" x14ac:dyDescent="0.25">
      <c r="A593" s="205" t="s">
        <v>712</v>
      </c>
    </row>
    <row r="594" spans="1:1" x14ac:dyDescent="0.25">
      <c r="A594" s="205" t="s">
        <v>712</v>
      </c>
    </row>
    <row r="595" spans="1:1" x14ac:dyDescent="0.25">
      <c r="A595" s="205" t="s">
        <v>712</v>
      </c>
    </row>
    <row r="596" spans="1:1" x14ac:dyDescent="0.25">
      <c r="A596" s="205" t="s">
        <v>712</v>
      </c>
    </row>
    <row r="597" spans="1:1" x14ac:dyDescent="0.25">
      <c r="A597" s="205" t="s">
        <v>716</v>
      </c>
    </row>
    <row r="598" spans="1:1" x14ac:dyDescent="0.25">
      <c r="A598" s="205" t="s">
        <v>717</v>
      </c>
    </row>
    <row r="599" spans="1:1" x14ac:dyDescent="0.25">
      <c r="A599" s="205" t="s">
        <v>718</v>
      </c>
    </row>
    <row r="600" spans="1:1" x14ac:dyDescent="0.25">
      <c r="A600" s="205" t="s">
        <v>719</v>
      </c>
    </row>
    <row r="601" spans="1:1" x14ac:dyDescent="0.25">
      <c r="A601" s="205" t="s">
        <v>720</v>
      </c>
    </row>
    <row r="602" spans="1:1" x14ac:dyDescent="0.25">
      <c r="A602" s="205" t="s">
        <v>721</v>
      </c>
    </row>
    <row r="603" spans="1:1" x14ac:dyDescent="0.25">
      <c r="A603" s="205" t="s">
        <v>722</v>
      </c>
    </row>
    <row r="604" spans="1:1" x14ac:dyDescent="0.25">
      <c r="A604" s="205" t="s">
        <v>699</v>
      </c>
    </row>
    <row r="605" spans="1:1" x14ac:dyDescent="0.25">
      <c r="A605" s="205" t="s">
        <v>699</v>
      </c>
    </row>
    <row r="606" spans="1:1" x14ac:dyDescent="0.25">
      <c r="A606" s="205" t="s">
        <v>699</v>
      </c>
    </row>
    <row r="607" spans="1:1" x14ac:dyDescent="0.25">
      <c r="A607" s="205" t="s">
        <v>699</v>
      </c>
    </row>
    <row r="608" spans="1:1" x14ac:dyDescent="0.25">
      <c r="A608" s="205" t="s">
        <v>699</v>
      </c>
    </row>
    <row r="609" spans="1:1" x14ac:dyDescent="0.25">
      <c r="A609" s="205" t="s">
        <v>699</v>
      </c>
    </row>
    <row r="610" spans="1:1" x14ac:dyDescent="0.25">
      <c r="A610" s="205" t="s">
        <v>699</v>
      </c>
    </row>
    <row r="611" spans="1:1" x14ac:dyDescent="0.25">
      <c r="A611" s="205" t="s">
        <v>699</v>
      </c>
    </row>
    <row r="612" spans="1:1" x14ac:dyDescent="0.25">
      <c r="A612" s="205" t="s">
        <v>723</v>
      </c>
    </row>
    <row r="613" spans="1:1" x14ac:dyDescent="0.25">
      <c r="A613" s="205" t="s">
        <v>712</v>
      </c>
    </row>
    <row r="614" spans="1:1" x14ac:dyDescent="0.25">
      <c r="A614" s="205" t="s">
        <v>712</v>
      </c>
    </row>
    <row r="615" spans="1:1" x14ac:dyDescent="0.25">
      <c r="A615" s="205" t="s">
        <v>712</v>
      </c>
    </row>
    <row r="616" spans="1:1" x14ac:dyDescent="0.25">
      <c r="A616" s="205" t="s">
        <v>698</v>
      </c>
    </row>
    <row r="617" spans="1:1" x14ac:dyDescent="0.25">
      <c r="A617" s="205" t="s">
        <v>724</v>
      </c>
    </row>
    <row r="618" spans="1:1" x14ac:dyDescent="0.25">
      <c r="A618" s="205" t="s">
        <v>725</v>
      </c>
    </row>
    <row r="619" spans="1:1" x14ac:dyDescent="0.25">
      <c r="A619" s="205" t="s">
        <v>726</v>
      </c>
    </row>
    <row r="620" spans="1:1" x14ac:dyDescent="0.25">
      <c r="A620" s="205" t="s">
        <v>727</v>
      </c>
    </row>
    <row r="621" spans="1:1" x14ac:dyDescent="0.25">
      <c r="A621" s="205" t="s">
        <v>728</v>
      </c>
    </row>
    <row r="622" spans="1:1" x14ac:dyDescent="0.25">
      <c r="A622" s="205" t="s">
        <v>729</v>
      </c>
    </row>
    <row r="623" spans="1:1" x14ac:dyDescent="0.25">
      <c r="A623" s="205" t="s">
        <v>730</v>
      </c>
    </row>
    <row r="624" spans="1:1" x14ac:dyDescent="0.25">
      <c r="A624" s="205" t="s">
        <v>731</v>
      </c>
    </row>
    <row r="625" spans="1:1" x14ac:dyDescent="0.25">
      <c r="A625" s="205" t="s">
        <v>732</v>
      </c>
    </row>
    <row r="626" spans="1:1" x14ac:dyDescent="0.25">
      <c r="A626" s="205" t="s">
        <v>733</v>
      </c>
    </row>
    <row r="627" spans="1:1" x14ac:dyDescent="0.25">
      <c r="A627" s="205" t="s">
        <v>734</v>
      </c>
    </row>
    <row r="628" spans="1:1" x14ac:dyDescent="0.25">
      <c r="A628" s="205" t="s">
        <v>702</v>
      </c>
    </row>
    <row r="629" spans="1:1" x14ac:dyDescent="0.25">
      <c r="A629" s="205" t="s">
        <v>712</v>
      </c>
    </row>
    <row r="630" spans="1:1" x14ac:dyDescent="0.25">
      <c r="A630" s="205" t="s">
        <v>712</v>
      </c>
    </row>
    <row r="631" spans="1:1" x14ac:dyDescent="0.25">
      <c r="A631" s="205" t="s">
        <v>712</v>
      </c>
    </row>
    <row r="632" spans="1:1" x14ac:dyDescent="0.25">
      <c r="A632" s="205" t="s">
        <v>712</v>
      </c>
    </row>
    <row r="633" spans="1:1" x14ac:dyDescent="0.25">
      <c r="A633" s="205" t="s">
        <v>735</v>
      </c>
    </row>
    <row r="634" spans="1:1" x14ac:dyDescent="0.25">
      <c r="A634" s="205" t="s">
        <v>736</v>
      </c>
    </row>
    <row r="635" spans="1:1" x14ac:dyDescent="0.25">
      <c r="A635" s="205" t="s">
        <v>737</v>
      </c>
    </row>
    <row r="636" spans="1:1" x14ac:dyDescent="0.25">
      <c r="A636" s="205" t="s">
        <v>715</v>
      </c>
    </row>
    <row r="637" spans="1:1" x14ac:dyDescent="0.25">
      <c r="A637" s="205" t="s">
        <v>712</v>
      </c>
    </row>
    <row r="638" spans="1:1" x14ac:dyDescent="0.25">
      <c r="A638" s="205" t="s">
        <v>712</v>
      </c>
    </row>
    <row r="639" spans="1:1" x14ac:dyDescent="0.25">
      <c r="A639" s="205" t="s">
        <v>738</v>
      </c>
    </row>
    <row r="640" spans="1:1" x14ac:dyDescent="0.25">
      <c r="A640" s="205" t="s">
        <v>739</v>
      </c>
    </row>
    <row r="641" spans="1:1" x14ac:dyDescent="0.25">
      <c r="A641" s="205" t="s">
        <v>740</v>
      </c>
    </row>
    <row r="642" spans="1:1" x14ac:dyDescent="0.25">
      <c r="A642" s="205" t="s">
        <v>712</v>
      </c>
    </row>
    <row r="643" spans="1:1" x14ac:dyDescent="0.25">
      <c r="A643" s="205" t="s">
        <v>712</v>
      </c>
    </row>
    <row r="644" spans="1:1" x14ac:dyDescent="0.25">
      <c r="A644" s="205" t="s">
        <v>712</v>
      </c>
    </row>
    <row r="645" spans="1:1" x14ac:dyDescent="0.25">
      <c r="A645" s="205" t="s">
        <v>741</v>
      </c>
    </row>
    <row r="646" spans="1:1" x14ac:dyDescent="0.25">
      <c r="A646" s="205" t="s">
        <v>742</v>
      </c>
    </row>
    <row r="647" spans="1:1" x14ac:dyDescent="0.25">
      <c r="A647" s="205" t="s">
        <v>743</v>
      </c>
    </row>
    <row r="648" spans="1:1" x14ac:dyDescent="0.25">
      <c r="A648" s="205" t="s">
        <v>712</v>
      </c>
    </row>
    <row r="649" spans="1:1" x14ac:dyDescent="0.25">
      <c r="A649" s="205" t="s">
        <v>712</v>
      </c>
    </row>
    <row r="650" spans="1:1" x14ac:dyDescent="0.25">
      <c r="A650" s="205" t="s">
        <v>744</v>
      </c>
    </row>
    <row r="651" spans="1:1" x14ac:dyDescent="0.25">
      <c r="A651" s="205" t="s">
        <v>745</v>
      </c>
    </row>
    <row r="652" spans="1:1" x14ac:dyDescent="0.25">
      <c r="A652" s="205" t="s">
        <v>702</v>
      </c>
    </row>
    <row r="653" spans="1:1" x14ac:dyDescent="0.25">
      <c r="A653" s="205" t="s">
        <v>746</v>
      </c>
    </row>
    <row r="654" spans="1:1" x14ac:dyDescent="0.25">
      <c r="A654" s="205" t="s">
        <v>747</v>
      </c>
    </row>
    <row r="655" spans="1:1" x14ac:dyDescent="0.25">
      <c r="A655" s="205" t="s">
        <v>699</v>
      </c>
    </row>
    <row r="656" spans="1:1" x14ac:dyDescent="0.25">
      <c r="A656" s="205" t="s">
        <v>699</v>
      </c>
    </row>
    <row r="657" spans="1:1" x14ac:dyDescent="0.25">
      <c r="A657" s="205" t="s">
        <v>699</v>
      </c>
    </row>
    <row r="658" spans="1:1" x14ac:dyDescent="0.25">
      <c r="A658" s="205" t="s">
        <v>699</v>
      </c>
    </row>
    <row r="659" spans="1:1" x14ac:dyDescent="0.25">
      <c r="A659" s="205" t="s">
        <v>699</v>
      </c>
    </row>
    <row r="660" spans="1:1" x14ac:dyDescent="0.25">
      <c r="A660" s="205" t="s">
        <v>748</v>
      </c>
    </row>
    <row r="661" spans="1:1" x14ac:dyDescent="0.25">
      <c r="A661" s="205" t="s">
        <v>699</v>
      </c>
    </row>
    <row r="662" spans="1:1" x14ac:dyDescent="0.25">
      <c r="A662" s="205" t="s">
        <v>699</v>
      </c>
    </row>
    <row r="663" spans="1:1" x14ac:dyDescent="0.25">
      <c r="A663" s="205" t="s">
        <v>699</v>
      </c>
    </row>
    <row r="664" spans="1:1" x14ac:dyDescent="0.25">
      <c r="A664" s="205" t="s">
        <v>699</v>
      </c>
    </row>
    <row r="665" spans="1:1" x14ac:dyDescent="0.25">
      <c r="A665" s="205" t="s">
        <v>699</v>
      </c>
    </row>
    <row r="666" spans="1:1" x14ac:dyDescent="0.25">
      <c r="A666" s="205" t="s">
        <v>699</v>
      </c>
    </row>
    <row r="667" spans="1:1" x14ac:dyDescent="0.25">
      <c r="A667" s="205" t="s">
        <v>699</v>
      </c>
    </row>
    <row r="668" spans="1:1" x14ac:dyDescent="0.25">
      <c r="A668" s="205" t="s">
        <v>699</v>
      </c>
    </row>
    <row r="669" spans="1:1" x14ac:dyDescent="0.25">
      <c r="A669" s="205" t="s">
        <v>699</v>
      </c>
    </row>
    <row r="670" spans="1:1" x14ac:dyDescent="0.25">
      <c r="A670" s="205" t="s">
        <v>699</v>
      </c>
    </row>
    <row r="671" spans="1:1" x14ac:dyDescent="0.25">
      <c r="A671" s="205" t="s">
        <v>723</v>
      </c>
    </row>
    <row r="672" spans="1:1" x14ac:dyDescent="0.25">
      <c r="A672" s="205" t="s">
        <v>712</v>
      </c>
    </row>
    <row r="673" spans="1:1" x14ac:dyDescent="0.25">
      <c r="A673" s="205" t="s">
        <v>712</v>
      </c>
    </row>
    <row r="674" spans="1:1" x14ac:dyDescent="0.25">
      <c r="A674" s="205" t="s">
        <v>712</v>
      </c>
    </row>
    <row r="675" spans="1:1" x14ac:dyDescent="0.25">
      <c r="A675" s="205" t="s">
        <v>712</v>
      </c>
    </row>
    <row r="676" spans="1:1" x14ac:dyDescent="0.25">
      <c r="A676" s="205" t="s">
        <v>712</v>
      </c>
    </row>
    <row r="677" spans="1:1" x14ac:dyDescent="0.25">
      <c r="A677" s="205" t="s">
        <v>712</v>
      </c>
    </row>
    <row r="678" spans="1:1" x14ac:dyDescent="0.25">
      <c r="A678" s="205" t="s">
        <v>712</v>
      </c>
    </row>
    <row r="679" spans="1:1" x14ac:dyDescent="0.25">
      <c r="A679" s="205" t="s">
        <v>712</v>
      </c>
    </row>
    <row r="680" spans="1:1" x14ac:dyDescent="0.25">
      <c r="A680" s="205" t="s">
        <v>712</v>
      </c>
    </row>
    <row r="681" spans="1:1" x14ac:dyDescent="0.25">
      <c r="A681" s="205" t="s">
        <v>712</v>
      </c>
    </row>
    <row r="682" spans="1:1" x14ac:dyDescent="0.25">
      <c r="A682" s="205" t="s">
        <v>712</v>
      </c>
    </row>
    <row r="683" spans="1:1" x14ac:dyDescent="0.25">
      <c r="A683" s="205" t="s">
        <v>749</v>
      </c>
    </row>
    <row r="684" spans="1:1" x14ac:dyDescent="0.25">
      <c r="A684" s="205" t="s">
        <v>750</v>
      </c>
    </row>
    <row r="685" spans="1:1" x14ac:dyDescent="0.25">
      <c r="A685" s="205" t="s">
        <v>751</v>
      </c>
    </row>
    <row r="686" spans="1:1" x14ac:dyDescent="0.25">
      <c r="A686" s="205" t="s">
        <v>752</v>
      </c>
    </row>
    <row r="687" spans="1:1" x14ac:dyDescent="0.25">
      <c r="A687" s="205" t="s">
        <v>753</v>
      </c>
    </row>
    <row r="688" spans="1:1" x14ac:dyDescent="0.25">
      <c r="A688" s="205" t="s">
        <v>754</v>
      </c>
    </row>
    <row r="689" spans="1:1" x14ac:dyDescent="0.25">
      <c r="A689" s="205" t="s">
        <v>755</v>
      </c>
    </row>
    <row r="690" spans="1:1" x14ac:dyDescent="0.25">
      <c r="A690" s="205" t="s">
        <v>704</v>
      </c>
    </row>
    <row r="691" spans="1:1" x14ac:dyDescent="0.25">
      <c r="A691" s="205" t="s">
        <v>704</v>
      </c>
    </row>
    <row r="692" spans="1:1" x14ac:dyDescent="0.25">
      <c r="A692" s="205" t="s">
        <v>699</v>
      </c>
    </row>
    <row r="693" spans="1:1" x14ac:dyDescent="0.25">
      <c r="A693" s="205" t="s">
        <v>756</v>
      </c>
    </row>
    <row r="694" spans="1:1" x14ac:dyDescent="0.25">
      <c r="A694" s="205" t="s">
        <v>704</v>
      </c>
    </row>
    <row r="695" spans="1:1" x14ac:dyDescent="0.25">
      <c r="A695" s="205" t="s">
        <v>699</v>
      </c>
    </row>
    <row r="696" spans="1:1" x14ac:dyDescent="0.25">
      <c r="A696" s="205" t="s">
        <v>699</v>
      </c>
    </row>
    <row r="697" spans="1:1" x14ac:dyDescent="0.25">
      <c r="A697" s="205" t="s">
        <v>699</v>
      </c>
    </row>
    <row r="698" spans="1:1" x14ac:dyDescent="0.25">
      <c r="A698" s="205" t="s">
        <v>750</v>
      </c>
    </row>
    <row r="699" spans="1:1" x14ac:dyDescent="0.25">
      <c r="A699" s="205" t="s">
        <v>757</v>
      </c>
    </row>
    <row r="700" spans="1:1" x14ac:dyDescent="0.25">
      <c r="A700" s="205" t="s">
        <v>699</v>
      </c>
    </row>
    <row r="701" spans="1:1" x14ac:dyDescent="0.25">
      <c r="A701" s="205" t="s">
        <v>699</v>
      </c>
    </row>
    <row r="702" spans="1:1" x14ac:dyDescent="0.25">
      <c r="A702" s="205" t="s">
        <v>750</v>
      </c>
    </row>
    <row r="703" spans="1:1" x14ac:dyDescent="0.25">
      <c r="A703" s="205" t="s">
        <v>704</v>
      </c>
    </row>
    <row r="704" spans="1:1" x14ac:dyDescent="0.25">
      <c r="A704" s="205" t="s">
        <v>699</v>
      </c>
    </row>
    <row r="705" spans="1:1" x14ac:dyDescent="0.25">
      <c r="A705" s="205" t="s">
        <v>699</v>
      </c>
    </row>
    <row r="706" spans="1:1" x14ac:dyDescent="0.25">
      <c r="A706" s="205" t="s">
        <v>758</v>
      </c>
    </row>
    <row r="707" spans="1:1" x14ac:dyDescent="0.25">
      <c r="A707" s="205" t="s">
        <v>704</v>
      </c>
    </row>
    <row r="708" spans="1:1" x14ac:dyDescent="0.25">
      <c r="A708" s="205" t="s">
        <v>759</v>
      </c>
    </row>
    <row r="709" spans="1:1" x14ac:dyDescent="0.25">
      <c r="A709" s="205" t="s">
        <v>699</v>
      </c>
    </row>
    <row r="710" spans="1:1" x14ac:dyDescent="0.25">
      <c r="A710" s="205" t="s">
        <v>750</v>
      </c>
    </row>
    <row r="711" spans="1:1" x14ac:dyDescent="0.25">
      <c r="A711" s="205" t="s">
        <v>704</v>
      </c>
    </row>
    <row r="712" spans="1:1" x14ac:dyDescent="0.25">
      <c r="A712" s="205" t="s">
        <v>760</v>
      </c>
    </row>
    <row r="713" spans="1:1" x14ac:dyDescent="0.25">
      <c r="A713" s="205" t="s">
        <v>699</v>
      </c>
    </row>
    <row r="714" spans="1:1" x14ac:dyDescent="0.25">
      <c r="A714" s="205" t="s">
        <v>749</v>
      </c>
    </row>
    <row r="715" spans="1:1" x14ac:dyDescent="0.25">
      <c r="A715" s="205" t="s">
        <v>699</v>
      </c>
    </row>
    <row r="716" spans="1:1" x14ac:dyDescent="0.25">
      <c r="A716" s="205" t="s">
        <v>699</v>
      </c>
    </row>
    <row r="717" spans="1:1" x14ac:dyDescent="0.25">
      <c r="A717" s="205" t="s">
        <v>699</v>
      </c>
    </row>
    <row r="718" spans="1:1" x14ac:dyDescent="0.25">
      <c r="A718" s="205" t="s">
        <v>699</v>
      </c>
    </row>
    <row r="719" spans="1:1" x14ac:dyDescent="0.25">
      <c r="A719" s="205" t="s">
        <v>758</v>
      </c>
    </row>
    <row r="720" spans="1:1" x14ac:dyDescent="0.25">
      <c r="A720" s="205" t="s">
        <v>704</v>
      </c>
    </row>
    <row r="721" spans="1:1" x14ac:dyDescent="0.25">
      <c r="A721" s="205" t="s">
        <v>757</v>
      </c>
    </row>
    <row r="722" spans="1:1" x14ac:dyDescent="0.25">
      <c r="A722" s="205" t="s">
        <v>760</v>
      </c>
    </row>
    <row r="723" spans="1:1" x14ac:dyDescent="0.25">
      <c r="A723" s="205" t="s">
        <v>758</v>
      </c>
    </row>
    <row r="724" spans="1:1" x14ac:dyDescent="0.25">
      <c r="A724" s="205" t="s">
        <v>761</v>
      </c>
    </row>
    <row r="725" spans="1:1" x14ac:dyDescent="0.25">
      <c r="A725" s="205" t="s">
        <v>743</v>
      </c>
    </row>
    <row r="726" spans="1:1" x14ac:dyDescent="0.25">
      <c r="A726" s="205" t="s">
        <v>712</v>
      </c>
    </row>
    <row r="727" spans="1:1" x14ac:dyDescent="0.25">
      <c r="A727" s="205" t="s">
        <v>712</v>
      </c>
    </row>
    <row r="728" spans="1:1" x14ac:dyDescent="0.25">
      <c r="A728" s="205" t="s">
        <v>712</v>
      </c>
    </row>
    <row r="729" spans="1:1" x14ac:dyDescent="0.25">
      <c r="A729" s="205" t="s">
        <v>712</v>
      </c>
    </row>
    <row r="730" spans="1:1" x14ac:dyDescent="0.25">
      <c r="A730" s="205" t="s">
        <v>712</v>
      </c>
    </row>
    <row r="731" spans="1:1" x14ac:dyDescent="0.25">
      <c r="A731" s="205" t="s">
        <v>762</v>
      </c>
    </row>
    <row r="732" spans="1:1" x14ac:dyDescent="0.25">
      <c r="A732" s="205" t="s">
        <v>763</v>
      </c>
    </row>
    <row r="733" spans="1:1" x14ac:dyDescent="0.25">
      <c r="A733" s="205" t="s">
        <v>764</v>
      </c>
    </row>
    <row r="734" spans="1:1" x14ac:dyDescent="0.25">
      <c r="A734" s="205" t="s">
        <v>712</v>
      </c>
    </row>
    <row r="735" spans="1:1" x14ac:dyDescent="0.25">
      <c r="A735" s="205" t="s">
        <v>712</v>
      </c>
    </row>
    <row r="736" spans="1:1" x14ac:dyDescent="0.25">
      <c r="A736" s="205" t="s">
        <v>972</v>
      </c>
    </row>
    <row r="737" spans="1:1" x14ac:dyDescent="0.25">
      <c r="A737" s="205" t="s">
        <v>243</v>
      </c>
    </row>
    <row r="738" spans="1:1" x14ac:dyDescent="0.25">
      <c r="A738" s="205" t="s">
        <v>269</v>
      </c>
    </row>
    <row r="739" spans="1:1" x14ac:dyDescent="0.25">
      <c r="A739" s="205" t="s">
        <v>252</v>
      </c>
    </row>
    <row r="740" spans="1:1" x14ac:dyDescent="0.25">
      <c r="A740" s="205" t="s">
        <v>253</v>
      </c>
    </row>
    <row r="741" spans="1:1" x14ac:dyDescent="0.25">
      <c r="A741" s="205" t="s">
        <v>247</v>
      </c>
    </row>
    <row r="742" spans="1:1" x14ac:dyDescent="0.25">
      <c r="A742" s="205" t="s">
        <v>390</v>
      </c>
    </row>
    <row r="743" spans="1:1" x14ac:dyDescent="0.25">
      <c r="A743" s="205" t="s">
        <v>254</v>
      </c>
    </row>
    <row r="744" spans="1:1" x14ac:dyDescent="0.25">
      <c r="A744" s="205" t="s">
        <v>258</v>
      </c>
    </row>
  </sheetData>
  <sheetProtection sheet="1" objects="1" scenarios="1"/>
  <pageMargins left="0.7" right="0.7" top="0.75" bottom="0.75" header="0.3" footer="0.3"/>
  <pageSetup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AVPFM_Parameters">
    <tabColor rgb="FF92D050"/>
  </sheetPr>
  <dimension ref="A1:G64"/>
  <sheetViews>
    <sheetView zoomScaleNormal="100" workbookViewId="0"/>
  </sheetViews>
  <sheetFormatPr defaultColWidth="0" defaultRowHeight="15" x14ac:dyDescent="0.25"/>
  <cols>
    <col min="1" max="1" width="52.140625" style="88" bestFit="1" customWidth="1"/>
    <col min="2" max="2" width="49.7109375" style="88" bestFit="1" customWidth="1"/>
    <col min="3" max="3" width="22.42578125" style="88" bestFit="1" customWidth="1"/>
    <col min="4" max="4" width="46.28515625" style="88" bestFit="1" customWidth="1"/>
    <col min="5" max="5" width="42.85546875" style="20" customWidth="1"/>
    <col min="6" max="7" width="0" style="1" hidden="1" customWidth="1"/>
    <col min="8" max="16384" width="8.7109375" style="1" hidden="1"/>
  </cols>
  <sheetData>
    <row r="1" spans="1:5" x14ac:dyDescent="0.25">
      <c r="A1" s="14" t="s">
        <v>9</v>
      </c>
      <c r="B1" s="18"/>
      <c r="C1" s="18"/>
      <c r="D1" s="19"/>
    </row>
    <row r="2" spans="1:5" x14ac:dyDescent="0.25">
      <c r="A2" s="1" t="s">
        <v>58</v>
      </c>
      <c r="B2" s="4" t="s">
        <v>410</v>
      </c>
      <c r="C2" s="18"/>
      <c r="D2" s="19"/>
    </row>
    <row r="3" spans="1:5" x14ac:dyDescent="0.25">
      <c r="A3" s="1" t="s">
        <v>59</v>
      </c>
      <c r="B3" s="154" t="str">
        <f>FAVPFMCase&amp;".json"</f>
        <v>PFM_test_ver_14.json</v>
      </c>
      <c r="C3" s="18"/>
      <c r="D3" s="19"/>
    </row>
    <row r="4" spans="1:5" x14ac:dyDescent="0.25">
      <c r="A4" s="1" t="s">
        <v>60</v>
      </c>
      <c r="B4" s="154" t="str">
        <f>FAVPFMCase&amp;".out"</f>
        <v>PFM_test_ver_14.out</v>
      </c>
      <c r="C4" s="18"/>
      <c r="D4" s="19"/>
    </row>
    <row r="5" spans="1:5" x14ac:dyDescent="0.25">
      <c r="A5" s="1"/>
      <c r="B5" s="18"/>
      <c r="C5" s="18"/>
      <c r="D5" s="19"/>
    </row>
    <row r="6" spans="1:5" x14ac:dyDescent="0.25">
      <c r="A6" s="14" t="s">
        <v>63</v>
      </c>
      <c r="B6" s="18"/>
      <c r="C6" s="18"/>
      <c r="D6" s="19"/>
    </row>
    <row r="7" spans="1:5" x14ac:dyDescent="0.25">
      <c r="A7" s="1" t="s">
        <v>62</v>
      </c>
      <c r="B7" s="4" t="s">
        <v>1</v>
      </c>
      <c r="C7" s="18"/>
      <c r="D7" s="19" t="str">
        <f>IF(LDQA_IQA=0,"PFM analysis will be performed","WARNING: no PFM analysis will be performed")</f>
        <v>PFM analysis will be performed</v>
      </c>
      <c r="E7" s="20">
        <f>IF(B7="no",0,IF(B8="Deterministic Minimization",2,1))</f>
        <v>0</v>
      </c>
    </row>
    <row r="8" spans="1:5" x14ac:dyDescent="0.25">
      <c r="A8" s="1" t="str">
        <f>IF(LDQA_IQA=0,"","Type of deterministic analysis")</f>
        <v/>
      </c>
      <c r="B8" s="23" t="s">
        <v>271</v>
      </c>
      <c r="C8" s="18"/>
      <c r="D8" s="19"/>
      <c r="E8" s="20">
        <f>IF(B8="Time history",1,IF(B8="Through-wall profile",2,IF(B10="embedded",2,5)))</f>
        <v>1</v>
      </c>
    </row>
    <row r="9" spans="1:5" x14ac:dyDescent="0.25">
      <c r="A9" s="1" t="str">
        <f>IF(LDQA_IQA=0,"",CHAR(34)&amp;"weld residual stress"&amp;CHAR(34)&amp;" : ")</f>
        <v/>
      </c>
      <c r="B9" s="4" t="s">
        <v>1</v>
      </c>
      <c r="C9" s="18"/>
      <c r="D9" s="19"/>
      <c r="E9" s="20" t="str">
        <f>A9&amp;IF(B9="no","false","true")</f>
        <v>false</v>
      </c>
    </row>
    <row r="10" spans="1:5" x14ac:dyDescent="0.25">
      <c r="A10" s="1" t="str">
        <f>IF(LDQA_IQA=0,"",CHAR(34)&amp;"flaw kind"&amp;CHAR(34)&amp;" : ")</f>
        <v/>
      </c>
      <c r="B10" s="23" t="s">
        <v>414</v>
      </c>
      <c r="C10" s="18"/>
      <c r="D10" s="19"/>
      <c r="E10" s="20" t="str">
        <f>A10&amp;CHAR(34)&amp;B10&amp;CHAR(34)</f>
        <v>"ID"</v>
      </c>
    </row>
    <row r="11" spans="1:5" x14ac:dyDescent="0.25">
      <c r="A11" s="1" t="str">
        <f>IF(LDQA_IQA=0,"",CHAR(34)&amp;"flaw orientation"&amp;CHAR(34)&amp;" : ")</f>
        <v/>
      </c>
      <c r="B11" s="23" t="s">
        <v>272</v>
      </c>
      <c r="C11" s="18"/>
      <c r="D11" s="19"/>
      <c r="E11" s="20" t="str">
        <f>A11&amp;CHAR(34)&amp;B11&amp;CHAR(34)</f>
        <v>"Axial"</v>
      </c>
    </row>
    <row r="12" spans="1:5" x14ac:dyDescent="0.25">
      <c r="A12" s="1" t="str">
        <f>IF(LDQA_IQA=0,"",IF(LDQA_IQA=1,IF(LDQA_IOPT=1,CHAR(34)&amp;"flaw depth"&amp;CHAR(34)&amp;" : ",IF(LDQA_IOPT=2,CHAR(34)&amp;"profile time"&amp;CHAR(34)&amp;" : ","")),CHAR(34)&amp;"flaw depth"&amp;CHAR(34)&amp;" : "))</f>
        <v/>
      </c>
      <c r="B12" s="174">
        <v>0.5</v>
      </c>
      <c r="C12" s="23" t="s">
        <v>33</v>
      </c>
      <c r="D12" s="19" t="str">
        <f>IF(AND($A12=CHAR(34)&amp;"flaw_depth"&amp;CHAR(34)&amp;" : ",C12&lt;&gt;"mm",C12&lt;&gt;"cm",C12&lt;&gt;"m",C12&lt;&gt;"in",C12&lt;&gt;"ft"),"WARNING: invalid unit",IF(AND($A12=CHAR(34)&amp;"profile_time"&amp;CHAR(34)&amp;" : ",C12&lt;&gt;"s",C12&lt;&gt;"m",C12&lt;&gt;"h",C12&lt;&gt;"d"),"WARNING: invalid unit",""))</f>
        <v/>
      </c>
      <c r="E12" s="159" t="str" cm="1">
        <f t="array" ref="E12">A12&amp;"""" &amp;real(B12)&amp;" "&amp;C12&amp;""""</f>
        <v>"0.5 in"</v>
      </c>
    </row>
    <row r="13" spans="1:5" x14ac:dyDescent="0.25">
      <c r="A13" s="1" t="str">
        <f>IF(LDQA_IQA=0,"",IF(LDQA_IQA=2,CHAR(34)&amp;"percentile"&amp;CHAR(34)&amp;" : ",CHAR(34)&amp;"aspect ratio"&amp;CHAR(34)&amp;" : "))</f>
        <v/>
      </c>
      <c r="B13" s="23">
        <v>6</v>
      </c>
      <c r="C13" s="18"/>
      <c r="D13" s="19" t="str">
        <f>IF(AND(LDQA_IQA=2,OR(B13&lt;0,B13&gt;100)),"WARNING: percentile must be between 0 and 100","")</f>
        <v/>
      </c>
      <c r="E13" s="159" t="str" cm="1">
        <f t="array" ref="E13">IF(A13&lt;&gt;"",A13&amp;real(B13),"")</f>
        <v/>
      </c>
    </row>
    <row r="14" spans="1:5" x14ac:dyDescent="0.25">
      <c r="A14" s="1" t="str">
        <f>IF(LDQA_IQA=0,"",IF($B$10="embedded",CHAR(34)&amp;"RPV ID to crack tip"&amp;CHAR(34)&amp;" : ",""))</f>
        <v/>
      </c>
      <c r="B14" s="174">
        <v>0.3</v>
      </c>
      <c r="C14" s="23" t="s">
        <v>33</v>
      </c>
      <c r="D14" s="19"/>
      <c r="E14" s="159" t="str" cm="1">
        <f t="array" ref="E14">IF(A14&lt;&gt;"",A14&amp;"""" &amp;real(B14)&amp;" "&amp;C14&amp;"""","")</f>
        <v/>
      </c>
    </row>
    <row r="15" spans="1:5" x14ac:dyDescent="0.25">
      <c r="A15" s="1"/>
      <c r="B15" s="18"/>
      <c r="C15" s="18"/>
      <c r="D15" s="19"/>
    </row>
    <row r="16" spans="1:5" x14ac:dyDescent="0.25">
      <c r="A16" s="14" t="str">
        <f>IF(LDQA_IQA=0,"Probabilisitc Simulation Parameters","")</f>
        <v>Probabilisitc Simulation Parameters</v>
      </c>
      <c r="B16" s="18"/>
      <c r="C16" s="18"/>
      <c r="D16" s="19"/>
    </row>
    <row r="17" spans="1:5" x14ac:dyDescent="0.25">
      <c r="A17" s="1" t="str">
        <f>IF(LDQA_IQA=0,CHAR(34)&amp;"rpv simulations"&amp;CHAR(34)&amp;" : ","")</f>
        <v xml:space="preserve">"rpv simulations" : </v>
      </c>
      <c r="B17" s="22">
        <v>100</v>
      </c>
      <c r="C17" s="18"/>
      <c r="D17" s="19"/>
      <c r="E17" s="159" t="str">
        <f>A17&amp;INT(B17)</f>
        <v>"rpv simulations" : 100</v>
      </c>
    </row>
    <row r="18" spans="1:5" x14ac:dyDescent="0.25">
      <c r="A18" s="1" t="str">
        <f>IF(LDQA_IQA=0,CHAR(34)&amp;"flaw population"&amp;CHAR(34)&amp;" : ","")</f>
        <v xml:space="preserve">"flaw population" : </v>
      </c>
      <c r="B18" s="4" t="s">
        <v>411</v>
      </c>
      <c r="C18" s="18"/>
      <c r="D18" s="19" t="str">
        <f>IF(B18="As-Found Flaws","Use as-found flaw input format","Use VFLAW input format")</f>
        <v>Use VFLAW input format</v>
      </c>
      <c r="E18" s="20" t="str">
        <f>A18&amp;IF(B18="ID Surface + Embedded in Inner 3/8th",1,IF(B18="OD Surface + Embedded in Outer 3/8th",2,IF(B18="ID and OD Surface + Embedded Throughout Thickness",3,IF(B18="As-Found Flaws",4))))</f>
        <v>"flaw population" : 1</v>
      </c>
    </row>
    <row r="19" spans="1:5" x14ac:dyDescent="0.25">
      <c r="A19" s="1" t="str">
        <f>IF(LDQA_IQA=0,CHAR(34)&amp;"initiation growth arrest trials"&amp;CHAR(34)&amp;" : ","")</f>
        <v xml:space="preserve">"initiation growth arrest trials" : </v>
      </c>
      <c r="B19" s="22">
        <v>100</v>
      </c>
      <c r="C19" s="18"/>
      <c r="D19" s="19"/>
      <c r="E19" s="159" t="str">
        <f>A19&amp;INT(B19)</f>
        <v>"initiation growth arrest trials" : 100</v>
      </c>
    </row>
    <row r="20" spans="1:5" x14ac:dyDescent="0.25">
      <c r="A20" s="1" t="str">
        <f>IF(LDQA_IQA=0,CHAR(34)&amp;"warm prestress"&amp;CHAR(34)&amp;" : ","")</f>
        <v xml:space="preserve">"warm prestress" : </v>
      </c>
      <c r="B20" s="23" t="s">
        <v>412</v>
      </c>
      <c r="C20" s="18"/>
      <c r="D20" s="19"/>
      <c r="E20" s="20" t="str">
        <f>A20&amp;IF(B20="dK/dt&gt;0 and KI&gt;KImax (default)",1,IF(B20="dK/dt&gt;0 and KI&gt;0 (conservative)",2,IF(B20="dK/dt&gt;0 and KI&gt;alpha*KImax (alpha sampled: see Theory Manual)",3,0)))</f>
        <v>"warm prestress" : 0</v>
      </c>
    </row>
    <row r="21" spans="1:5" x14ac:dyDescent="0.25">
      <c r="A21" s="1" t="str">
        <f>IF(LDQA_IQA=0,CHAR(34)&amp;"category-3 flaw analysis"&amp;CHAR(34)&amp;" : ","")</f>
        <v xml:space="preserve">"category-3 flaw analysis" : </v>
      </c>
      <c r="B21" s="4" t="s">
        <v>1</v>
      </c>
      <c r="C21" s="18"/>
      <c r="D21" s="19"/>
      <c r="E21" s="20" t="str">
        <f>A21&amp;IF(B21="no","false","true")</f>
        <v>"category-3 flaw analysis" : false</v>
      </c>
    </row>
    <row r="22" spans="1:5" x14ac:dyDescent="0.25">
      <c r="A22" s="1" t="str">
        <f>IF(LDQA_IQA=0,CHAR(34)&amp;"child subregion reports"&amp;CHAR(34)&amp;" : ","")</f>
        <v xml:space="preserve">"child subregion reports" : </v>
      </c>
      <c r="B22" s="4" t="s">
        <v>54</v>
      </c>
      <c r="C22" s="18"/>
      <c r="D22" s="19"/>
      <c r="E22" s="20" t="str">
        <f>A22&amp;IF(B22="no","false","true")</f>
        <v>"child subregion reports" : true</v>
      </c>
    </row>
    <row r="23" spans="1:5" x14ac:dyDescent="0.25">
      <c r="A23" s="1" t="str">
        <f>IF(LDQA_IQA=0,CHAR(34)&amp;"restart"&amp;CHAR(34)&amp;" : ","")</f>
        <v xml:space="preserve">"restart" : </v>
      </c>
      <c r="B23" s="4" t="s">
        <v>1</v>
      </c>
      <c r="C23" s="18"/>
      <c r="D23" s="19"/>
      <c r="E23" s="20" t="str">
        <f>A23&amp;IF(B24&lt;&gt;200,IF(B23="yes",INT(B24),INT(-B24)),IF(B23="yes",1,0))</f>
        <v>"restart" : 0</v>
      </c>
    </row>
    <row r="24" spans="1:5" x14ac:dyDescent="0.25">
      <c r="A24" s="1" t="str">
        <f>IF(LDQA_IQA=0,CHAR(34)&amp;"restart checkpoint interval"&amp;CHAR(34)&amp;" : ","")</f>
        <v xml:space="preserve">"restart checkpoint interval" : </v>
      </c>
      <c r="B24" s="23">
        <v>0</v>
      </c>
      <c r="C24" s="18"/>
      <c r="D24" s="19"/>
    </row>
    <row r="25" spans="1:5" x14ac:dyDescent="0.25">
      <c r="A25" s="1" t="str">
        <f>IF(LDQA_IQA=0,CHAR(34)&amp;"embrittlement model"&amp;CHAR(34)&amp;" : ","")</f>
        <v xml:space="preserve">"embrittlement model" : </v>
      </c>
      <c r="B25" s="23" t="s">
        <v>413</v>
      </c>
      <c r="C25" s="18"/>
      <c r="D25" s="19"/>
      <c r="E25" s="20" t="str">
        <f>A25&amp;IF(B25="Regulatory Guide 1.99 Rev. 2",992,IF(B25="Eason 2000",2000,IF(B25="Eason 2006",2006,IF(B25="Kirk 2007",20071,IF(B25="Radamo 2007",20072,20073)))))</f>
        <v>"embrittlement model" : 992</v>
      </c>
    </row>
    <row r="26" spans="1:5" x14ac:dyDescent="0.25">
      <c r="A26" s="1" t="str">
        <f>IF(LDQA_IQA=0,CHAR(34)&amp;"normal coolant temperature"&amp;CHAR(34)&amp;" : ","")</f>
        <v xml:space="preserve">"normal coolant temperature" : </v>
      </c>
      <c r="B26" s="167">
        <v>525</v>
      </c>
      <c r="C26" s="5" t="s">
        <v>216</v>
      </c>
      <c r="D26" s="19"/>
      <c r="E26" s="159" t="str" cm="1">
        <f t="array" ref="E26">A26&amp;"""" &amp;real(B26)&amp;" "&amp;C26&amp;""""</f>
        <v>"normal coolant temperature" : "525.0 F"</v>
      </c>
    </row>
    <row r="27" spans="1:5" x14ac:dyDescent="0.25">
      <c r="A27" s="1" t="str">
        <f>IF(LDQA_IQA=0,CHAR(34)&amp;"plant operating time"&amp;CHAR(34)&amp;" : ","")</f>
        <v xml:space="preserve">"plant operating time" : </v>
      </c>
      <c r="B27" s="167">
        <v>60</v>
      </c>
      <c r="C27" s="23" t="s">
        <v>64</v>
      </c>
      <c r="D27" s="19"/>
      <c r="E27" s="159" t="str" cm="1">
        <f t="array" ref="E27">A27&amp;real(B27)</f>
        <v>"plant operating time" : 60.0</v>
      </c>
    </row>
    <row r="28" spans="1:5" x14ac:dyDescent="0.25">
      <c r="A28" s="1" t="str">
        <f>IF(LDQA_IQA=0,CHAR(34)&amp;"ductile tearing model"&amp;CHAR(34)&amp;" : ","")</f>
        <v xml:space="preserve">"ductile tearing model" : </v>
      </c>
      <c r="B28" s="4" t="s">
        <v>54</v>
      </c>
      <c r="C28" s="18"/>
      <c r="D28" s="19"/>
      <c r="E28" s="20" t="str">
        <f>A28&amp;IF(B28="no","false","true")</f>
        <v>"ductile tearing model" : true</v>
      </c>
    </row>
    <row r="29" spans="1:5" x14ac:dyDescent="0.25">
      <c r="A29" s="1" t="str">
        <f>IF(LDQA_IQA=0,CHAR(34)&amp;"ductile tearing checks"&amp;CHAR(34)&amp;" : ","")</f>
        <v xml:space="preserve">"ductile tearing checks" : </v>
      </c>
      <c r="B29" s="4" t="s">
        <v>54</v>
      </c>
      <c r="C29" s="18"/>
      <c r="D29" s="19" t="str">
        <f>IF(B29="yes","WARNING: large increase in calculation time","")</f>
        <v>WARNING: large increase in calculation time</v>
      </c>
      <c r="E29" s="20" t="str">
        <f>A29&amp;IF(B29="no","false","true")</f>
        <v>"ductile tearing checks" : true</v>
      </c>
    </row>
    <row r="30" spans="1:5" x14ac:dyDescent="0.25">
      <c r="A30" s="1" t="str">
        <f>IF(LDQA_IQA=0,CHAR(34)&amp;"detailed reports"&amp;CHAR(34)&amp;" : ","")</f>
        <v xml:space="preserve">"detailed reports" : </v>
      </c>
      <c r="B30" s="4" t="s">
        <v>54</v>
      </c>
      <c r="C30" s="18"/>
      <c r="D30" s="19" t="str">
        <f>IF(B30="yes","WARNING: output may become very large","")</f>
        <v>WARNING: output may become very large</v>
      </c>
      <c r="E30" s="20" t="str">
        <f>A30&amp;IF(B30="no","false","true")</f>
        <v>"detailed reports" : true</v>
      </c>
    </row>
    <row r="31" spans="1:5" x14ac:dyDescent="0.25">
      <c r="A31" s="1" t="str">
        <f>IF(LDQA_IQA=0,CHAR(34)&amp;"flow stress"&amp;CHAR(34)&amp;" : ","")</f>
        <v xml:space="preserve">"flow stress" : </v>
      </c>
      <c r="B31" s="167">
        <v>80</v>
      </c>
      <c r="C31" s="23" t="s">
        <v>24</v>
      </c>
      <c r="D31" s="19"/>
      <c r="E31" s="159" t="str" cm="1">
        <f t="array" ref="E31">A31&amp;"""" &amp;real(B31)&amp;" "&amp;C31&amp;""""</f>
        <v>"flow stress" : "80.0 ksi"</v>
      </c>
    </row>
    <row r="32" spans="1:5" x14ac:dyDescent="0.25">
      <c r="A32" s="1" t="str">
        <f>IF(LDQA_IQA=0,CHAR(34)&amp;"max K"&amp;CHAR(34)&amp;" : ","")</f>
        <v xml:space="preserve">"max K" : </v>
      </c>
      <c r="B32" s="167">
        <v>200</v>
      </c>
      <c r="C32" s="23" t="s">
        <v>270</v>
      </c>
      <c r="D32" s="19"/>
      <c r="E32" s="159" t="str" cm="1">
        <f t="array" ref="E32">A32&amp;real(B32)</f>
        <v>"max K" : 200.0</v>
      </c>
    </row>
    <row r="33" spans="1:5" x14ac:dyDescent="0.25">
      <c r="A33" s="1" t="str">
        <f>IF(LDQA_IQA=0,CHAR(34)&amp;"arrest model"&amp;CHAR(34)&amp;" : ","")</f>
        <v xml:space="preserve">"arrest model" : </v>
      </c>
      <c r="B33" s="23" t="s">
        <v>393</v>
      </c>
      <c r="C33" s="18"/>
      <c r="D33" s="19"/>
      <c r="E33" s="20" t="str">
        <f>A33&amp;IF(B33="High-constraint KIa model based on CCA specimens",1,2)</f>
        <v>"arrest model" : 1</v>
      </c>
    </row>
    <row r="34" spans="1:5" x14ac:dyDescent="0.25">
      <c r="A34" s="1" t="str">
        <f>IF(LDQA_IQA=0,CHAR(34)&amp;"resampling"&amp;CHAR(34)&amp;" : ","")</f>
        <v xml:space="preserve">"resampling" : </v>
      </c>
      <c r="B34" s="4" t="s">
        <v>1</v>
      </c>
      <c r="C34" s="18"/>
      <c r="D34" s="19"/>
      <c r="E34" s="20" t="str">
        <f>A34&amp;IF(B34="no","false","true")</f>
        <v>"resampling" : false</v>
      </c>
    </row>
    <row r="35" spans="1:5" x14ac:dyDescent="0.25">
      <c r="A35" s="1" t="str">
        <f>IF(LDQA_IQA=0,CHAR(34)&amp;"vessel failure normalized crack depth"&amp;CHAR(34)&amp;" : ","")</f>
        <v xml:space="preserve">"vessel failure normalized crack depth" : </v>
      </c>
      <c r="B35" s="23">
        <v>0.9</v>
      </c>
      <c r="C35" s="18"/>
      <c r="D35" s="19" t="s">
        <v>61</v>
      </c>
      <c r="E35" s="159" t="str" cm="1">
        <f t="array" ref="E35">A35&amp;real(B35)</f>
        <v>"vessel failure normalized crack depth" : 0.9</v>
      </c>
    </row>
    <row r="36" spans="1:5" x14ac:dyDescent="0.25">
      <c r="A36" s="1"/>
      <c r="B36" s="18"/>
      <c r="C36" s="18"/>
      <c r="D36" s="19"/>
    </row>
    <row r="37" spans="1:5" x14ac:dyDescent="0.25">
      <c r="A37" s="14" t="str">
        <f>IF(LDQA_IQA=0,"Fluence Sampling","")</f>
        <v>Fluence Sampling</v>
      </c>
      <c r="B37" s="18"/>
      <c r="C37" s="18"/>
      <c r="D37" s="19"/>
    </row>
    <row r="38" spans="1:5" x14ac:dyDescent="0.25">
      <c r="A38" s="1" t="str">
        <f>IF(LDQA_IQA=0,CHAR(34)&amp;"stdev mean local fluence"&amp;CHAR(34)&amp;" : ","")</f>
        <v xml:space="preserve">"stdev mean local fluence" : </v>
      </c>
      <c r="B38" s="174">
        <v>0.11799999999999999</v>
      </c>
      <c r="C38" s="18"/>
      <c r="D38" s="19"/>
      <c r="E38" s="159" t="str" cm="1">
        <f t="array" ref="E38">A38&amp;real(B38)</f>
        <v>"stdev mean local fluence" : 0.118</v>
      </c>
    </row>
    <row r="39" spans="1:5" x14ac:dyDescent="0.25">
      <c r="A39" s="1" t="str">
        <f>IF(LDQA_IQA=0,CHAR(34)&amp;"stdev local fluence"&amp;CHAR(34)&amp;" : ","")</f>
        <v xml:space="preserve">"stdev local fluence" : </v>
      </c>
      <c r="B39" s="174">
        <v>5.6000000000000001E-2</v>
      </c>
      <c r="C39" s="18"/>
      <c r="D39" s="19"/>
      <c r="E39" s="159" t="str" cm="1">
        <f t="array" ref="E39">A39&amp;real(B39)</f>
        <v>"stdev local fluence" : 0.056</v>
      </c>
    </row>
    <row r="40" spans="1:5" x14ac:dyDescent="0.25">
      <c r="A40" s="1"/>
      <c r="B40" s="18"/>
      <c r="C40" s="18"/>
      <c r="D40" s="19"/>
    </row>
    <row r="41" spans="1:5" x14ac:dyDescent="0.25">
      <c r="A41" s="14" t="str">
        <f>IF(LDQA_IQA=0,"Weld Chemistry Sampling","")</f>
        <v>Weld Chemistry Sampling</v>
      </c>
      <c r="B41" s="18"/>
      <c r="C41" s="18"/>
      <c r="D41" s="19"/>
    </row>
    <row r="42" spans="1:5" x14ac:dyDescent="0.25">
      <c r="A42" s="1" t="str">
        <f>IF(LDQA_IQA=0,CHAR(34)&amp;"stdev Cu weld"&amp;CHAR(34)&amp;" : ","")</f>
        <v xml:space="preserve">"stdev Cu weld" : </v>
      </c>
      <c r="B42" s="174">
        <v>0.16700000000000001</v>
      </c>
      <c r="C42" s="23" t="s">
        <v>65</v>
      </c>
      <c r="D42" s="19"/>
      <c r="E42" s="159" t="str" cm="1">
        <f t="array" ref="E42">A42&amp;real(B42)</f>
        <v>"stdev Cu weld" : 0.167</v>
      </c>
    </row>
    <row r="43" spans="1:5" x14ac:dyDescent="0.25">
      <c r="A43" s="1" t="str">
        <f>IF(LDQA_IQA=0,CHAR(34)&amp;"stdev Ni weld"&amp;CHAR(34)&amp;" : ","")</f>
        <v xml:space="preserve">"stdev Ni weld" : </v>
      </c>
      <c r="B43" s="174">
        <v>0.16200000000000001</v>
      </c>
      <c r="C43" s="23" t="s">
        <v>65</v>
      </c>
      <c r="D43" s="19"/>
      <c r="E43" s="159" t="str" cm="1">
        <f t="array" ref="E43">A43&amp;real(B43)</f>
        <v>"stdev Ni weld" : 0.162</v>
      </c>
    </row>
    <row r="44" spans="1:5" x14ac:dyDescent="0.25">
      <c r="A44" s="1" t="str">
        <f>IF(LDQA_IQA=0,CHAR(34)&amp;"stdev P weld"&amp;CHAR(34)&amp;" : ","")</f>
        <v xml:space="preserve">"stdev P weld" : </v>
      </c>
      <c r="B44" s="174">
        <v>1.2999999999999999E-3</v>
      </c>
      <c r="C44" s="23" t="s">
        <v>65</v>
      </c>
      <c r="D44" s="19"/>
      <c r="E44" s="159" t="str" cm="1">
        <f t="array" ref="E44">A44&amp;real(B44)</f>
        <v>"stdev P weld" : 0.0013</v>
      </c>
    </row>
    <row r="45" spans="1:5" x14ac:dyDescent="0.25">
      <c r="A45" s="1"/>
      <c r="B45" s="18"/>
      <c r="C45" s="18"/>
      <c r="D45" s="19"/>
    </row>
    <row r="46" spans="1:5" x14ac:dyDescent="0.25">
      <c r="A46" s="14" t="str">
        <f>IF(LDQA_IQA=0,"Plate Chemistry Sampling","")</f>
        <v>Plate Chemistry Sampling</v>
      </c>
      <c r="B46" s="18"/>
      <c r="C46" s="18"/>
      <c r="D46" s="19"/>
    </row>
    <row r="47" spans="1:5" x14ac:dyDescent="0.25">
      <c r="A47" s="1" t="str">
        <f>IF(LDQA_IQA=0,CHAR(34)&amp;"stdev Cu plate"&amp;CHAR(34)&amp;" : ","")</f>
        <v xml:space="preserve">"stdev Cu plate" : </v>
      </c>
      <c r="B47" s="174">
        <v>7.3000000000000001E-3</v>
      </c>
      <c r="C47" s="23" t="s">
        <v>65</v>
      </c>
      <c r="D47" s="19"/>
      <c r="E47" s="159" t="str" cm="1">
        <f t="array" ref="E47">A47&amp;real(B47)</f>
        <v>"stdev Cu plate" : 0.0073</v>
      </c>
    </row>
    <row r="48" spans="1:5" x14ac:dyDescent="0.25">
      <c r="A48" s="1" t="str">
        <f>IF(LDQA_IQA=0,CHAR(34)&amp;"stdev Ni plate"&amp;CHAR(34)&amp;" : ","")</f>
        <v xml:space="preserve">"stdev Ni plate" : </v>
      </c>
      <c r="B48" s="174">
        <v>2.4400000000000002E-2</v>
      </c>
      <c r="C48" s="23" t="s">
        <v>65</v>
      </c>
      <c r="D48" s="19"/>
      <c r="E48" s="159" t="str" cm="1">
        <f t="array" ref="E48">A48&amp;real(B48)</f>
        <v>"stdev Ni plate" : 0.0244</v>
      </c>
    </row>
    <row r="49" spans="1:5" x14ac:dyDescent="0.25">
      <c r="A49" s="1" t="str">
        <f>IF(LDQA_IQA=0,CHAR(34)&amp;"stdev P plate"&amp;CHAR(34)&amp;" : ","")</f>
        <v xml:space="preserve">"stdev P plate" : </v>
      </c>
      <c r="B49" s="174">
        <v>1.2999999999999999E-3</v>
      </c>
      <c r="C49" s="23" t="s">
        <v>65</v>
      </c>
      <c r="D49" s="19"/>
      <c r="E49" s="159" t="str" cm="1">
        <f t="array" ref="E49">A49&amp;real(B49)</f>
        <v>"stdev P plate" : 0.0013</v>
      </c>
    </row>
    <row r="50" spans="1:5" x14ac:dyDescent="0.25">
      <c r="A50" s="1"/>
      <c r="B50" s="18"/>
      <c r="C50" s="18"/>
      <c r="D50" s="19"/>
    </row>
    <row r="51" spans="1:5" x14ac:dyDescent="0.25">
      <c r="A51" s="14" t="str">
        <f>IF(LDQA_IQA=0,"Flaw Tracking","")</f>
        <v>Flaw Tracking</v>
      </c>
      <c r="B51" s="18"/>
      <c r="C51" s="18"/>
      <c r="D51" s="19"/>
    </row>
    <row r="52" spans="1:5" x14ac:dyDescent="0.25">
      <c r="A52" s="1" t="str">
        <f>IF(LDQA_IQA=0,CHAR(34)&amp;"flaw log tables"&amp;CHAR(34)&amp;" : ","")</f>
        <v xml:space="preserve">"flaw log tables" : </v>
      </c>
      <c r="B52" s="4" t="s">
        <v>54</v>
      </c>
      <c r="C52" s="18"/>
      <c r="D52" s="19" t="str">
        <f>IF(B52="no","Ignore other inputs in this 'Flaw tracking'","Fill out 'Flaw Tracking'")</f>
        <v>Fill out 'Flaw Tracking'</v>
      </c>
      <c r="E52" s="20" t="str">
        <f>A52&amp;IF(B52="no","false","true")</f>
        <v>"flaw log tables" : true</v>
      </c>
    </row>
    <row r="53" spans="1:5" x14ac:dyDescent="0.25">
      <c r="A53" s="1" t="str">
        <f>IF(LDQA_IQA=0,CHAR(34)&amp;"transient number"&amp;CHAR(34)&amp;" : ","")</f>
        <v xml:space="preserve">"transient number" : </v>
      </c>
      <c r="B53" s="23">
        <v>1</v>
      </c>
      <c r="C53" s="18"/>
      <c r="D53" s="19"/>
      <c r="E53" s="159" t="str">
        <f t="shared" ref="E53:E55" si="0">A53&amp;INT(B53)</f>
        <v>"transient number" : 1</v>
      </c>
    </row>
    <row r="54" spans="1:5" x14ac:dyDescent="0.25">
      <c r="A54" s="1" t="str">
        <f>IF(LDQA_IQA=0,CHAR(34)&amp;"simulation number"&amp;CHAR(34)&amp;" : ","")</f>
        <v xml:space="preserve">"simulation number" : </v>
      </c>
      <c r="B54" s="23">
        <v>1</v>
      </c>
      <c r="C54" s="18"/>
      <c r="D54" s="19"/>
      <c r="E54" s="159" t="str">
        <f t="shared" si="0"/>
        <v>"simulation number" : 1</v>
      </c>
    </row>
    <row r="55" spans="1:5" x14ac:dyDescent="0.25">
      <c r="A55" s="1" t="str">
        <f>IF(LDQA_IQA=0,CHAR(34)&amp;"flaw number"&amp;CHAR(34)&amp;" : ","")</f>
        <v xml:space="preserve">"flaw number" : </v>
      </c>
      <c r="B55" s="23">
        <v>1</v>
      </c>
      <c r="C55" s="18"/>
      <c r="D55" s="19"/>
      <c r="E55" s="159" t="str">
        <f t="shared" si="0"/>
        <v>"flaw number" : 1</v>
      </c>
    </row>
    <row r="56" spans="1:5" x14ac:dyDescent="0.25">
      <c r="A56" s="1"/>
      <c r="B56" s="18"/>
      <c r="C56" s="18"/>
      <c r="D56" s="19"/>
    </row>
    <row r="57" spans="1:5" x14ac:dyDescent="0.25">
      <c r="A57" s="14" t="str">
        <f>IF(LDQA_IQA=0,"PFM Analysis Time Interval Specifications","")</f>
        <v>PFM Analysis Time Interval Specifications</v>
      </c>
      <c r="B57" s="18"/>
      <c r="C57" s="18"/>
      <c r="D57" s="19"/>
    </row>
    <row r="58" spans="1:5" x14ac:dyDescent="0.25">
      <c r="A58" s="1" t="str">
        <f>IF(LDQA_IQA=0,CHAR(34)&amp;"analysis time interval specification"&amp;CHAR(34)&amp;" : ","")</f>
        <v xml:space="preserve">"analysis time interval specification" : </v>
      </c>
      <c r="B58" s="4" t="s">
        <v>54</v>
      </c>
      <c r="C58" s="18"/>
      <c r="D58" s="19" t="str">
        <f>IF(B58="yes","Fill table below","")</f>
        <v>Fill table below</v>
      </c>
      <c r="E58" s="20" t="str">
        <f>A58&amp;IF(B58="no",0,COUNT($A$62:$A$1048576))</f>
        <v>"analysis time interval specification" : 3</v>
      </c>
    </row>
    <row r="59" spans="1:5" x14ac:dyDescent="0.25">
      <c r="A59" s="85"/>
      <c r="B59" s="85"/>
      <c r="C59" s="85"/>
      <c r="D59" s="85"/>
    </row>
    <row r="60" spans="1:5" x14ac:dyDescent="0.25">
      <c r="A60" s="85"/>
      <c r="B60" s="85"/>
      <c r="C60" s="207" t="s">
        <v>229</v>
      </c>
      <c r="D60" s="207" t="s">
        <v>229</v>
      </c>
    </row>
    <row r="61" spans="1:5" x14ac:dyDescent="0.25">
      <c r="A61" s="86" t="str">
        <f>IF(B58="yes","PFM Transient Number (from FAVLoad)","")</f>
        <v>PFM Transient Number (from FAVLoad)</v>
      </c>
      <c r="B61" s="86" t="str">
        <f>IF(B58="yes","Thermal-Hydraulic Sequence Number (from FAVLoad)","")</f>
        <v>Thermal-Hydraulic Sequence Number (from FAVLoad)</v>
      </c>
      <c r="C61" s="87" t="str">
        <f>IF(B58="yes","PFM Analysis Start Time","")</f>
        <v>PFM Analysis Start Time</v>
      </c>
      <c r="D61" s="87" t="str">
        <f>IF(B58="yes","PFM Analysis End Time","")</f>
        <v>PFM Analysis End Time</v>
      </c>
    </row>
    <row r="62" spans="1:5" x14ac:dyDescent="0.25">
      <c r="A62" s="88">
        <v>1</v>
      </c>
      <c r="B62" s="88">
        <v>2</v>
      </c>
      <c r="C62" s="88">
        <v>0</v>
      </c>
      <c r="D62" s="88">
        <v>300</v>
      </c>
    </row>
    <row r="63" spans="1:5" x14ac:dyDescent="0.25">
      <c r="A63" s="88">
        <v>2</v>
      </c>
      <c r="B63" s="88">
        <v>3</v>
      </c>
      <c r="C63" s="88">
        <v>5</v>
      </c>
      <c r="D63" s="88">
        <v>200</v>
      </c>
    </row>
    <row r="64" spans="1:5" x14ac:dyDescent="0.25">
      <c r="A64" s="88">
        <v>3</v>
      </c>
      <c r="B64" s="88">
        <v>33</v>
      </c>
      <c r="C64" s="88">
        <v>3</v>
      </c>
      <c r="D64" s="88">
        <v>33</v>
      </c>
    </row>
  </sheetData>
  <dataValidations count="18">
    <dataValidation type="whole" operator="greaterThanOrEqual" allowBlank="1" showInputMessage="1" showErrorMessage="1" sqref="B17 B19" xr:uid="{00000000-0002-0000-0500-000000000000}">
      <formula1>1</formula1>
    </dataValidation>
    <dataValidation type="list" allowBlank="1" showInputMessage="1" showErrorMessage="1" sqref="B18" xr:uid="{00000000-0002-0000-0500-000001000000}">
      <formula1>"ID Surface + Embedded in Inner 3/8th,OD Surface + Embedded in Outer 3/8th,ID and OD Surface + Embedded Throughout Thickness,As-Found Flaws"</formula1>
    </dataValidation>
    <dataValidation type="list" allowBlank="1" showInputMessage="1" showErrorMessage="1" sqref="B20" xr:uid="{00000000-0002-0000-0500-000002000000}">
      <formula1>"None,dK/dt&gt;0 and KI&gt;KImax (default),dK/dt&gt;0 and KI&gt;0 (conservative),dK/dt&gt;0 and KI&gt;alpha*KImax (alpha sampled: see Theory Manual)"</formula1>
    </dataValidation>
    <dataValidation type="list" allowBlank="1" showInputMessage="1" showErrorMessage="1" sqref="B21:B23 B34 B7 B52 B58 B28:B30 B9" xr:uid="{00000000-0002-0000-0500-000003000000}">
      <formula1>"no,yes"</formula1>
    </dataValidation>
    <dataValidation type="list" allowBlank="1" showInputMessage="1" showErrorMessage="1" sqref="B25" xr:uid="{00000000-0002-0000-0500-000004000000}">
      <formula1>"Regulatory Guide 1.99 Rev. 2,Eason 2000,Eason 2006,Kirk 2007,Radamo 2007,Combined Kirk/Radamo 2007"</formula1>
    </dataValidation>
    <dataValidation type="decimal" operator="greaterThanOrEqual" allowBlank="1" showInputMessage="1" showErrorMessage="1" sqref="B31:B32 B38:B39 B42:B44 B47:B49 B12:B14 B13" xr:uid="{00000000-0002-0000-0500-000006000000}">
      <formula1>0</formula1>
    </dataValidation>
    <dataValidation type="list" allowBlank="1" showInputMessage="1" showErrorMessage="1" sqref="B33" xr:uid="{00000000-0002-0000-0500-000007000000}">
      <formula1>"High-constraint KIa model based on CCA specimens, KIa model based on CCA + large specimen data"</formula1>
    </dataValidation>
    <dataValidation type="decimal" allowBlank="1" showInputMessage="1" showErrorMessage="1" sqref="B35" xr:uid="{00000000-0002-0000-0500-000008000000}">
      <formula1>0.25</formula1>
      <formula2>0.95</formula2>
    </dataValidation>
    <dataValidation type="whole" operator="greaterThanOrEqual" allowBlank="1" showInputMessage="1" showErrorMessage="1" sqref="B53:B55" xr:uid="{00000000-0002-0000-0500-000009000000}">
      <formula1>0</formula1>
    </dataValidation>
    <dataValidation type="list" allowBlank="1" showInputMessage="1" showErrorMessage="1" sqref="B8:B9" xr:uid="{00000000-0002-0000-0500-00000A000000}">
      <formula1>"Time history,Through-wall profile,Deterministic Minimization"</formula1>
    </dataValidation>
    <dataValidation type="list" allowBlank="1" showInputMessage="1" showErrorMessage="1" sqref="B11:B13" xr:uid="{00000000-0002-0000-0500-00000B000000}">
      <formula1>"axial,circumferential"</formula1>
    </dataValidation>
    <dataValidation type="list" allowBlank="1" showInputMessage="1" showErrorMessage="1" sqref="B10 B10 B10" xr:uid="{00000000-0002-0000-0500-00000C000000}">
      <formula1>"ID,embedded,OD"</formula1>
    </dataValidation>
    <dataValidation type="list" allowBlank="1" showInputMessage="1" showErrorMessage="1" sqref="C32" xr:uid="{00000000-0002-0000-0500-00000F000000}">
      <formula1>"ksi√in,MPa√m"</formula1>
    </dataValidation>
    <dataValidation type="list" allowBlank="1" showInputMessage="1" showErrorMessage="1" sqref="C14" xr:uid="{183037EC-3E23-44A8-B844-12064DCDEA35}">
      <formula1>"mm,cm,m,in,ft"</formula1>
    </dataValidation>
    <dataValidation type="list" allowBlank="1" showInputMessage="1" showErrorMessage="1" sqref="C26" xr:uid="{11181320-1740-44BA-A5B0-CB5D1C6BA6F8}">
      <formula1>"C,K,F,R"</formula1>
    </dataValidation>
    <dataValidation type="list" allowBlank="1" showInputMessage="1" showErrorMessage="1" sqref="C31" xr:uid="{902BC0D1-848F-4854-A4B8-4440DAA82C75}">
      <formula1>"atm,bar,dyn/cm^2,Pa,kPa,MPa,kp/cm^2,psi,ksi"</formula1>
    </dataValidation>
    <dataValidation type="list" allowBlank="1" showInputMessage="1" showErrorMessage="1" sqref="C60:D60" xr:uid="{21823B0F-B5F8-47F2-A237-92638AF6F1FF}">
      <formula1>"s,m,h,d"</formula1>
    </dataValidation>
    <dataValidation type="list" allowBlank="1" showInputMessage="1" showErrorMessage="1" sqref="C12:C13" xr:uid="{BB9EABD3-F3EF-45AD-B281-09C335FDF374}">
      <formula1>"mm,cm,m,in,ft,s,m,h,d"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AVPFM_Embrittlement">
    <tabColor rgb="FF92D050"/>
  </sheetPr>
  <dimension ref="A1:Y28"/>
  <sheetViews>
    <sheetView workbookViewId="0">
      <selection activeCell="K23" sqref="K23"/>
    </sheetView>
  </sheetViews>
  <sheetFormatPr defaultColWidth="0" defaultRowHeight="15" zeroHeight="1" x14ac:dyDescent="0.25"/>
  <cols>
    <col min="1" max="1" width="28.5703125" style="94" bestFit="1" customWidth="1"/>
    <col min="2" max="2" width="14.28515625" style="83" customWidth="1"/>
    <col min="3" max="5" width="14.28515625" style="94" customWidth="1"/>
    <col min="6" max="10" width="14.28515625" style="175" customWidth="1"/>
    <col min="11" max="11" width="23" style="94" bestFit="1" customWidth="1"/>
    <col min="12" max="12" width="33.28515625" style="94" bestFit="1" customWidth="1"/>
    <col min="13" max="14" width="14.28515625" style="176" customWidth="1"/>
    <col min="15" max="15" width="49.42578125" style="94" bestFit="1" customWidth="1"/>
    <col min="16" max="16" width="14.28515625" style="94" customWidth="1"/>
    <col min="17" max="18" width="14.28515625" style="175" customWidth="1"/>
    <col min="19" max="19" width="16.28515625" style="94" bestFit="1" customWidth="1"/>
    <col min="20" max="20" width="14.28515625" style="94" customWidth="1"/>
    <col min="21" max="21" width="14.28515625" style="175" customWidth="1"/>
    <col min="22" max="22" width="14.28515625" style="15" customWidth="1"/>
    <col min="23" max="25" width="14.28515625" style="15" hidden="1" customWidth="1"/>
    <col min="26" max="16384" width="9.140625" style="15" hidden="1"/>
  </cols>
  <sheetData>
    <row r="1" spans="1:21" x14ac:dyDescent="0.25">
      <c r="A1" s="17" t="s">
        <v>69</v>
      </c>
      <c r="B1" s="15"/>
      <c r="C1" s="15"/>
      <c r="D1" s="20" t="s">
        <v>71</v>
      </c>
      <c r="E1" s="20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</row>
    <row r="2" spans="1:21" x14ac:dyDescent="0.25">
      <c r="A2" s="15" t="s">
        <v>66</v>
      </c>
      <c r="B2" s="22">
        <v>7</v>
      </c>
      <c r="C2" s="15"/>
      <c r="D2" s="20" t="s">
        <v>72</v>
      </c>
      <c r="E2" s="20">
        <f>B2</f>
        <v>7</v>
      </c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</row>
    <row r="3" spans="1:21" x14ac:dyDescent="0.25">
      <c r="A3" s="15" t="s">
        <v>67</v>
      </c>
      <c r="B3" s="22">
        <v>7</v>
      </c>
      <c r="C3" s="15"/>
      <c r="D3" s="20" t="s">
        <v>73</v>
      </c>
      <c r="E3" s="20">
        <f>B3</f>
        <v>7</v>
      </c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</row>
    <row r="4" spans="1:21" x14ac:dyDescent="0.2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</row>
    <row r="5" spans="1:21" x14ac:dyDescent="0.25">
      <c r="A5" s="17" t="s">
        <v>173</v>
      </c>
      <c r="B5" s="15"/>
      <c r="C5" s="15"/>
      <c r="D5" s="20" t="s">
        <v>74</v>
      </c>
      <c r="E5" s="20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</row>
    <row r="6" spans="1:21" x14ac:dyDescent="0.25">
      <c r="A6" s="15" t="s">
        <v>68</v>
      </c>
      <c r="B6" s="22">
        <v>6</v>
      </c>
      <c r="C6" s="15"/>
      <c r="D6" s="20" t="s">
        <v>75</v>
      </c>
      <c r="E6" s="20">
        <f>B6</f>
        <v>6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</row>
    <row r="7" spans="1:21" x14ac:dyDescent="0.25">
      <c r="A7" s="15" t="s">
        <v>70</v>
      </c>
      <c r="B7" s="22">
        <v>6</v>
      </c>
      <c r="C7" s="15"/>
      <c r="D7" s="20" t="s">
        <v>76</v>
      </c>
      <c r="E7" s="20">
        <f>B7</f>
        <v>6</v>
      </c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</row>
    <row r="8" spans="1:21" x14ac:dyDescent="0.2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</row>
    <row r="9" spans="1:21" x14ac:dyDescent="0.25">
      <c r="A9" s="17" t="s">
        <v>77</v>
      </c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</row>
    <row r="10" spans="1:21" x14ac:dyDescent="0.25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</row>
    <row r="11" spans="1:21" x14ac:dyDescent="0.25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</row>
    <row r="12" spans="1:21" x14ac:dyDescent="0.2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</row>
    <row r="13" spans="1:21" x14ac:dyDescent="0.25">
      <c r="A13" s="89" t="s">
        <v>99</v>
      </c>
      <c r="B13" s="89">
        <v>1</v>
      </c>
      <c r="C13" s="89">
        <v>2</v>
      </c>
      <c r="D13" s="89">
        <v>3</v>
      </c>
      <c r="E13" s="89">
        <v>4</v>
      </c>
      <c r="F13" s="89">
        <v>5</v>
      </c>
      <c r="G13" s="89">
        <v>6</v>
      </c>
      <c r="H13" s="89">
        <v>7</v>
      </c>
      <c r="I13" s="89">
        <v>8</v>
      </c>
      <c r="J13" s="89">
        <v>9</v>
      </c>
      <c r="K13" s="89">
        <v>10</v>
      </c>
      <c r="L13" s="89">
        <v>11</v>
      </c>
      <c r="M13" s="89">
        <v>12</v>
      </c>
      <c r="N13" s="89">
        <v>13</v>
      </c>
      <c r="O13" s="89">
        <v>14</v>
      </c>
      <c r="P13" s="89">
        <v>15</v>
      </c>
      <c r="Q13" s="89">
        <v>16</v>
      </c>
      <c r="R13" s="89">
        <v>17</v>
      </c>
      <c r="S13" s="89">
        <v>18</v>
      </c>
      <c r="T13" s="89">
        <v>19</v>
      </c>
      <c r="U13" s="89">
        <v>20</v>
      </c>
    </row>
    <row r="14" spans="1:21" s="92" customFormat="1" ht="60" x14ac:dyDescent="0.25">
      <c r="A14" s="90" t="s">
        <v>78</v>
      </c>
      <c r="B14" s="90" t="s">
        <v>79</v>
      </c>
      <c r="C14" s="91" t="s">
        <v>80</v>
      </c>
      <c r="D14" s="91" t="s">
        <v>81</v>
      </c>
      <c r="E14" s="91" t="s">
        <v>82</v>
      </c>
      <c r="F14" s="91" t="s">
        <v>83</v>
      </c>
      <c r="G14" s="91" t="s">
        <v>96</v>
      </c>
      <c r="H14" s="91" t="s">
        <v>95</v>
      </c>
      <c r="I14" s="91" t="s">
        <v>97</v>
      </c>
      <c r="J14" s="91" t="s">
        <v>98</v>
      </c>
      <c r="K14" s="91" t="s">
        <v>84</v>
      </c>
      <c r="L14" s="91" t="s">
        <v>85</v>
      </c>
      <c r="M14" s="91" t="s">
        <v>86</v>
      </c>
      <c r="N14" s="91" t="s">
        <v>87</v>
      </c>
      <c r="O14" s="91" t="s">
        <v>88</v>
      </c>
      <c r="P14" s="91" t="s">
        <v>89</v>
      </c>
      <c r="Q14" s="91" t="s">
        <v>90</v>
      </c>
      <c r="R14" s="91" t="s">
        <v>91</v>
      </c>
      <c r="S14" s="91" t="s">
        <v>92</v>
      </c>
      <c r="T14" s="91" t="s">
        <v>93</v>
      </c>
      <c r="U14" s="91" t="s">
        <v>94</v>
      </c>
    </row>
    <row r="15" spans="1:21" s="92" customFormat="1" x14ac:dyDescent="0.25">
      <c r="A15" s="93" t="s">
        <v>100</v>
      </c>
      <c r="B15" s="93" t="s">
        <v>100</v>
      </c>
      <c r="C15" s="93" t="s">
        <v>100</v>
      </c>
      <c r="D15" s="93" t="s">
        <v>100</v>
      </c>
      <c r="E15" s="93" t="s">
        <v>100</v>
      </c>
      <c r="F15" s="93" t="s">
        <v>257</v>
      </c>
      <c r="G15" s="93" t="s">
        <v>65</v>
      </c>
      <c r="H15" s="93" t="s">
        <v>65</v>
      </c>
      <c r="I15" s="93" t="s">
        <v>65</v>
      </c>
      <c r="J15" s="93" t="s">
        <v>65</v>
      </c>
      <c r="K15" s="93" t="s">
        <v>100</v>
      </c>
      <c r="L15" s="93" t="s">
        <v>100</v>
      </c>
      <c r="M15" s="13" t="s">
        <v>216</v>
      </c>
      <c r="N15" s="13" t="s">
        <v>216</v>
      </c>
      <c r="O15" s="93" t="s">
        <v>100</v>
      </c>
      <c r="P15" s="93" t="s">
        <v>255</v>
      </c>
      <c r="Q15" s="13" t="s">
        <v>33</v>
      </c>
      <c r="R15" s="93" t="s">
        <v>256</v>
      </c>
      <c r="S15" s="93" t="s">
        <v>100</v>
      </c>
      <c r="T15" s="93" t="s">
        <v>100</v>
      </c>
      <c r="U15" s="93" t="s">
        <v>973</v>
      </c>
    </row>
    <row r="16" spans="1:21" x14ac:dyDescent="0.25">
      <c r="A16" s="94" t="s">
        <v>71</v>
      </c>
      <c r="B16" s="83">
        <v>1</v>
      </c>
      <c r="C16" s="94">
        <v>8</v>
      </c>
      <c r="D16" s="94">
        <v>9</v>
      </c>
      <c r="E16" s="94">
        <v>1</v>
      </c>
      <c r="F16" s="175">
        <v>0.46660000000000001</v>
      </c>
      <c r="G16" s="175">
        <v>0.27</v>
      </c>
      <c r="H16" s="175">
        <v>0.73499999999999999</v>
      </c>
      <c r="I16" s="175">
        <v>1.2999999999999999E-2</v>
      </c>
      <c r="J16" s="175">
        <v>1</v>
      </c>
      <c r="K16" s="94">
        <v>2</v>
      </c>
      <c r="L16" s="94">
        <v>0</v>
      </c>
      <c r="M16" s="176">
        <v>-50</v>
      </c>
      <c r="N16" s="176">
        <v>10</v>
      </c>
      <c r="O16" s="94">
        <v>11</v>
      </c>
      <c r="P16" s="94">
        <v>0.71399999999999997</v>
      </c>
      <c r="Q16" s="175">
        <v>116.7</v>
      </c>
      <c r="R16" s="175">
        <v>656</v>
      </c>
      <c r="S16" s="94">
        <v>1</v>
      </c>
      <c r="T16" s="94">
        <v>0</v>
      </c>
      <c r="U16" s="175">
        <v>88.4</v>
      </c>
    </row>
    <row r="17" spans="1:21" x14ac:dyDescent="0.25">
      <c r="A17" s="94" t="s">
        <v>71</v>
      </c>
      <c r="B17" s="83">
        <v>2</v>
      </c>
      <c r="C17" s="94">
        <v>10</v>
      </c>
      <c r="D17" s="94">
        <v>8</v>
      </c>
      <c r="E17" s="94">
        <v>2</v>
      </c>
      <c r="F17" s="175">
        <v>0.46660000000000001</v>
      </c>
      <c r="G17" s="175">
        <v>0.27</v>
      </c>
      <c r="H17" s="175">
        <v>0.73499999999999999</v>
      </c>
      <c r="I17" s="175">
        <v>1.2999999999999999E-2</v>
      </c>
      <c r="J17" s="175">
        <v>1</v>
      </c>
      <c r="K17" s="94">
        <v>2</v>
      </c>
      <c r="L17" s="94">
        <v>0</v>
      </c>
      <c r="M17" s="176">
        <v>-50</v>
      </c>
      <c r="N17" s="176">
        <v>10</v>
      </c>
      <c r="O17" s="94">
        <v>11</v>
      </c>
      <c r="P17" s="94">
        <v>0.71399999999999997</v>
      </c>
      <c r="Q17" s="175">
        <v>116.7</v>
      </c>
      <c r="R17" s="175">
        <v>656</v>
      </c>
      <c r="S17" s="94">
        <v>1</v>
      </c>
      <c r="T17" s="94">
        <v>0</v>
      </c>
      <c r="U17" s="175">
        <v>88.4</v>
      </c>
    </row>
    <row r="18" spans="1:21" x14ac:dyDescent="0.25">
      <c r="A18" s="94" t="s">
        <v>71</v>
      </c>
      <c r="B18" s="83">
        <v>3</v>
      </c>
      <c r="C18" s="94">
        <v>9</v>
      </c>
      <c r="D18" s="94">
        <v>10</v>
      </c>
      <c r="E18" s="94">
        <v>3</v>
      </c>
      <c r="F18" s="175">
        <v>0.46660000000000001</v>
      </c>
      <c r="G18" s="175">
        <v>0.27</v>
      </c>
      <c r="H18" s="175">
        <v>0.73499999999999999</v>
      </c>
      <c r="I18" s="175">
        <v>1.2999999999999999E-2</v>
      </c>
      <c r="J18" s="175">
        <v>1</v>
      </c>
      <c r="K18" s="94">
        <v>2</v>
      </c>
      <c r="L18" s="94">
        <v>0</v>
      </c>
      <c r="M18" s="176">
        <v>-50</v>
      </c>
      <c r="N18" s="176">
        <v>10</v>
      </c>
      <c r="O18" s="94">
        <v>11</v>
      </c>
      <c r="P18" s="94">
        <v>0.71399999999999997</v>
      </c>
      <c r="Q18" s="175">
        <v>116.7</v>
      </c>
      <c r="R18" s="175">
        <v>656</v>
      </c>
      <c r="S18" s="94">
        <v>1</v>
      </c>
      <c r="T18" s="94">
        <v>0</v>
      </c>
      <c r="U18" s="175">
        <v>88.4</v>
      </c>
    </row>
    <row r="19" spans="1:21" x14ac:dyDescent="0.25">
      <c r="A19" s="94" t="s">
        <v>71</v>
      </c>
      <c r="B19" s="83">
        <v>4</v>
      </c>
      <c r="C19" s="94">
        <v>11</v>
      </c>
      <c r="D19" s="94">
        <v>12</v>
      </c>
      <c r="E19" s="94">
        <v>4</v>
      </c>
      <c r="F19" s="175">
        <v>0.32</v>
      </c>
      <c r="G19" s="175">
        <v>0.221</v>
      </c>
      <c r="H19" s="175">
        <v>0.73199999999999998</v>
      </c>
      <c r="I19" s="175">
        <v>2.3E-2</v>
      </c>
      <c r="J19" s="175">
        <v>1</v>
      </c>
      <c r="K19" s="94">
        <v>2</v>
      </c>
      <c r="L19" s="94">
        <v>0</v>
      </c>
      <c r="M19" s="176">
        <v>-50</v>
      </c>
      <c r="N19" s="176">
        <v>10</v>
      </c>
      <c r="O19" s="94">
        <v>11</v>
      </c>
      <c r="P19" s="94">
        <v>0.71399999999999997</v>
      </c>
      <c r="Q19" s="175">
        <v>53.75</v>
      </c>
      <c r="R19" s="175">
        <v>302</v>
      </c>
      <c r="S19" s="94">
        <v>1</v>
      </c>
      <c r="T19" s="94">
        <v>0</v>
      </c>
      <c r="U19" s="175">
        <v>88.4</v>
      </c>
    </row>
    <row r="20" spans="1:21" x14ac:dyDescent="0.25">
      <c r="A20" s="94" t="s">
        <v>71</v>
      </c>
      <c r="B20" s="83">
        <v>5</v>
      </c>
      <c r="C20" s="94">
        <v>13</v>
      </c>
      <c r="D20" s="94">
        <v>11</v>
      </c>
      <c r="E20" s="94">
        <v>5</v>
      </c>
      <c r="F20" s="175">
        <v>0.32</v>
      </c>
      <c r="G20" s="175">
        <v>0.221</v>
      </c>
      <c r="H20" s="175">
        <v>0.73199999999999998</v>
      </c>
      <c r="I20" s="175">
        <v>2.3E-2</v>
      </c>
      <c r="J20" s="175">
        <v>1</v>
      </c>
      <c r="K20" s="94">
        <v>2</v>
      </c>
      <c r="L20" s="94">
        <v>0</v>
      </c>
      <c r="M20" s="176">
        <v>-50</v>
      </c>
      <c r="N20" s="176">
        <v>10</v>
      </c>
      <c r="O20" s="94">
        <v>11</v>
      </c>
      <c r="P20" s="94">
        <v>0.71399999999999997</v>
      </c>
      <c r="Q20" s="175">
        <v>53.75</v>
      </c>
      <c r="R20" s="175">
        <v>302</v>
      </c>
      <c r="S20" s="94">
        <v>1</v>
      </c>
      <c r="T20" s="94">
        <v>0</v>
      </c>
      <c r="U20" s="175">
        <v>88.4</v>
      </c>
    </row>
    <row r="21" spans="1:21" x14ac:dyDescent="0.25">
      <c r="A21" s="94" t="s">
        <v>71</v>
      </c>
      <c r="B21" s="83">
        <v>6</v>
      </c>
      <c r="C21" s="94">
        <v>12</v>
      </c>
      <c r="D21" s="94">
        <v>13</v>
      </c>
      <c r="E21" s="94">
        <v>6</v>
      </c>
      <c r="F21" s="175">
        <v>0.32</v>
      </c>
      <c r="G21" s="175">
        <v>0.221</v>
      </c>
      <c r="H21" s="175">
        <v>0.73199999999999998</v>
      </c>
      <c r="I21" s="175">
        <v>2.3E-2</v>
      </c>
      <c r="J21" s="175">
        <v>1</v>
      </c>
      <c r="K21" s="94">
        <v>2</v>
      </c>
      <c r="L21" s="94">
        <v>0</v>
      </c>
      <c r="M21" s="176">
        <v>-50</v>
      </c>
      <c r="N21" s="176">
        <v>10</v>
      </c>
      <c r="O21" s="94">
        <v>11</v>
      </c>
      <c r="P21" s="94">
        <v>0.71399999999999997</v>
      </c>
      <c r="Q21" s="175">
        <v>53.75</v>
      </c>
      <c r="R21" s="175">
        <v>302</v>
      </c>
      <c r="S21" s="94">
        <v>1</v>
      </c>
      <c r="T21" s="94">
        <v>0</v>
      </c>
      <c r="U21" s="175">
        <v>88.4</v>
      </c>
    </row>
    <row r="22" spans="1:21" x14ac:dyDescent="0.25">
      <c r="A22" s="94" t="s">
        <v>71</v>
      </c>
      <c r="B22" s="83">
        <v>7</v>
      </c>
      <c r="C22" s="94">
        <v>8</v>
      </c>
      <c r="D22" s="94">
        <v>11</v>
      </c>
      <c r="E22" s="94">
        <v>7</v>
      </c>
      <c r="F22" s="175">
        <v>0.32</v>
      </c>
      <c r="G22" s="175">
        <v>0.25800000000000001</v>
      </c>
      <c r="H22" s="175">
        <v>0.16500000000000001</v>
      </c>
      <c r="I22" s="175">
        <v>1.7000000000000001E-2</v>
      </c>
      <c r="J22" s="175">
        <v>1</v>
      </c>
      <c r="K22" s="94">
        <v>2</v>
      </c>
      <c r="L22" s="94">
        <v>0</v>
      </c>
      <c r="M22" s="176">
        <v>-50</v>
      </c>
      <c r="N22" s="176">
        <v>10</v>
      </c>
      <c r="O22" s="94">
        <v>11</v>
      </c>
      <c r="P22" s="94">
        <v>360</v>
      </c>
      <c r="Q22" s="175">
        <v>1.25</v>
      </c>
      <c r="R22" s="175">
        <v>4005</v>
      </c>
      <c r="S22" s="94">
        <v>2</v>
      </c>
      <c r="T22" s="94">
        <v>0</v>
      </c>
      <c r="U22" s="175">
        <v>88.4</v>
      </c>
    </row>
    <row r="23" spans="1:21" x14ac:dyDescent="0.25">
      <c r="A23" s="94" t="s">
        <v>273</v>
      </c>
      <c r="B23" s="83">
        <v>8</v>
      </c>
      <c r="C23" s="94">
        <v>8</v>
      </c>
      <c r="D23" s="94">
        <v>8</v>
      </c>
      <c r="E23" s="94">
        <v>8</v>
      </c>
      <c r="F23" s="175">
        <v>0.46660000000000001</v>
      </c>
      <c r="G23" s="175">
        <v>0.17</v>
      </c>
      <c r="H23" s="175">
        <v>0.62</v>
      </c>
      <c r="I23" s="175">
        <v>1.0999999999999999E-2</v>
      </c>
      <c r="J23" s="175">
        <v>1</v>
      </c>
      <c r="K23" s="94">
        <v>0</v>
      </c>
      <c r="L23" s="94">
        <v>0</v>
      </c>
      <c r="M23" s="176">
        <v>-20</v>
      </c>
      <c r="N23" s="176">
        <v>10</v>
      </c>
      <c r="O23" s="94">
        <v>21</v>
      </c>
      <c r="P23" s="94">
        <v>119.2</v>
      </c>
      <c r="Q23" s="175">
        <v>116.7</v>
      </c>
      <c r="R23" s="175">
        <v>0</v>
      </c>
      <c r="S23" s="94">
        <v>0</v>
      </c>
      <c r="T23" s="94">
        <v>0</v>
      </c>
      <c r="U23" s="175">
        <v>88.4</v>
      </c>
    </row>
    <row r="24" spans="1:21" x14ac:dyDescent="0.25">
      <c r="A24" s="94" t="s">
        <v>273</v>
      </c>
      <c r="B24" s="83">
        <v>9</v>
      </c>
      <c r="C24" s="94">
        <v>9</v>
      </c>
      <c r="D24" s="94">
        <v>9</v>
      </c>
      <c r="E24" s="94">
        <v>9</v>
      </c>
      <c r="F24" s="175">
        <v>0.46660000000000001</v>
      </c>
      <c r="G24" s="175">
        <v>0.13</v>
      </c>
      <c r="H24" s="175">
        <v>0.57999999999999996</v>
      </c>
      <c r="I24" s="175">
        <v>1.4999999999999999E-2</v>
      </c>
      <c r="J24" s="175">
        <v>1</v>
      </c>
      <c r="K24" s="94">
        <v>0</v>
      </c>
      <c r="L24" s="94">
        <v>0</v>
      </c>
      <c r="M24" s="176">
        <v>-20</v>
      </c>
      <c r="N24" s="176">
        <v>10</v>
      </c>
      <c r="O24" s="94">
        <v>21</v>
      </c>
      <c r="P24" s="94">
        <v>119.2</v>
      </c>
      <c r="Q24" s="175">
        <v>116.7</v>
      </c>
      <c r="R24" s="175">
        <v>0</v>
      </c>
      <c r="S24" s="94">
        <v>0</v>
      </c>
      <c r="T24" s="94">
        <v>0</v>
      </c>
      <c r="U24" s="175">
        <v>88.4</v>
      </c>
    </row>
    <row r="25" spans="1:21" x14ac:dyDescent="0.25">
      <c r="A25" s="94" t="s">
        <v>273</v>
      </c>
      <c r="B25" s="83">
        <v>10</v>
      </c>
      <c r="C25" s="94">
        <v>10</v>
      </c>
      <c r="D25" s="94">
        <v>10</v>
      </c>
      <c r="E25" s="94">
        <v>10</v>
      </c>
      <c r="F25" s="175">
        <v>0.46660000000000001</v>
      </c>
      <c r="G25" s="175">
        <v>0.13</v>
      </c>
      <c r="H25" s="175">
        <v>0.7</v>
      </c>
      <c r="I25" s="175">
        <v>0.01</v>
      </c>
      <c r="J25" s="175">
        <v>1</v>
      </c>
      <c r="K25" s="94">
        <v>0</v>
      </c>
      <c r="L25" s="94">
        <v>0</v>
      </c>
      <c r="M25" s="176">
        <v>-20</v>
      </c>
      <c r="N25" s="176">
        <v>10</v>
      </c>
      <c r="O25" s="94">
        <v>21</v>
      </c>
      <c r="P25" s="94">
        <v>119.2</v>
      </c>
      <c r="Q25" s="175">
        <v>116.7</v>
      </c>
      <c r="R25" s="175">
        <v>0</v>
      </c>
      <c r="S25" s="94">
        <v>0</v>
      </c>
      <c r="T25" s="94">
        <v>0</v>
      </c>
      <c r="U25" s="175">
        <v>88.4</v>
      </c>
    </row>
    <row r="26" spans="1:21" x14ac:dyDescent="0.25">
      <c r="A26" s="94" t="s">
        <v>273</v>
      </c>
      <c r="B26" s="83">
        <v>11</v>
      </c>
      <c r="C26" s="94">
        <v>11</v>
      </c>
      <c r="D26" s="94">
        <v>11</v>
      </c>
      <c r="E26" s="94">
        <v>11</v>
      </c>
      <c r="F26" s="175">
        <v>0.32</v>
      </c>
      <c r="G26" s="175">
        <v>0.13</v>
      </c>
      <c r="H26" s="175">
        <v>0.64</v>
      </c>
      <c r="I26" s="175">
        <v>1.0999999999999999E-2</v>
      </c>
      <c r="J26" s="175">
        <v>1</v>
      </c>
      <c r="K26" s="94">
        <v>0</v>
      </c>
      <c r="L26" s="94">
        <v>0</v>
      </c>
      <c r="M26" s="176">
        <v>8</v>
      </c>
      <c r="N26" s="176">
        <v>10</v>
      </c>
      <c r="O26" s="94">
        <v>21</v>
      </c>
      <c r="P26" s="94">
        <v>119.2</v>
      </c>
      <c r="Q26" s="175">
        <v>53.75</v>
      </c>
      <c r="R26" s="175">
        <v>0</v>
      </c>
      <c r="S26" s="94">
        <v>0</v>
      </c>
      <c r="T26" s="94">
        <v>0</v>
      </c>
      <c r="U26" s="175">
        <v>88.4</v>
      </c>
    </row>
    <row r="27" spans="1:21" x14ac:dyDescent="0.25">
      <c r="A27" s="94" t="s">
        <v>273</v>
      </c>
      <c r="B27" s="83">
        <v>12</v>
      </c>
      <c r="C27" s="94">
        <v>12</v>
      </c>
      <c r="D27" s="94">
        <v>12</v>
      </c>
      <c r="E27" s="94">
        <v>12</v>
      </c>
      <c r="F27" s="175">
        <v>0.32</v>
      </c>
      <c r="G27" s="175">
        <v>0.13</v>
      </c>
      <c r="H27" s="175">
        <v>0.64</v>
      </c>
      <c r="I27" s="175">
        <v>1.0999999999999999E-2</v>
      </c>
      <c r="J27" s="175">
        <v>1</v>
      </c>
      <c r="K27" s="94">
        <v>0</v>
      </c>
      <c r="L27" s="94">
        <v>0</v>
      </c>
      <c r="M27" s="176">
        <v>10</v>
      </c>
      <c r="N27" s="176">
        <v>10</v>
      </c>
      <c r="O27" s="94">
        <v>21</v>
      </c>
      <c r="P27" s="94">
        <v>119.2</v>
      </c>
      <c r="Q27" s="175">
        <v>53.75</v>
      </c>
      <c r="R27" s="175">
        <v>0</v>
      </c>
      <c r="S27" s="94">
        <v>0</v>
      </c>
      <c r="T27" s="94">
        <v>0</v>
      </c>
      <c r="U27" s="175">
        <v>88.4</v>
      </c>
    </row>
    <row r="28" spans="1:21" x14ac:dyDescent="0.25">
      <c r="A28" s="94" t="s">
        <v>273</v>
      </c>
      <c r="B28" s="83">
        <v>13</v>
      </c>
      <c r="C28" s="94">
        <v>13</v>
      </c>
      <c r="D28" s="94">
        <v>13</v>
      </c>
      <c r="E28" s="94">
        <v>13</v>
      </c>
      <c r="F28" s="175">
        <v>0.32</v>
      </c>
      <c r="G28" s="175">
        <v>0.14000000000000001</v>
      </c>
      <c r="H28" s="175">
        <v>0.56999999999999995</v>
      </c>
      <c r="I28" s="175">
        <v>8.9999999999999993E-3</v>
      </c>
      <c r="J28" s="175">
        <v>1</v>
      </c>
      <c r="K28" s="94">
        <v>0</v>
      </c>
      <c r="L28" s="94">
        <v>0</v>
      </c>
      <c r="M28" s="176">
        <v>-10</v>
      </c>
      <c r="N28" s="176">
        <v>10</v>
      </c>
      <c r="O28" s="94">
        <v>21</v>
      </c>
      <c r="P28" s="94">
        <v>119.2</v>
      </c>
      <c r="Q28" s="175">
        <v>53.75</v>
      </c>
      <c r="R28" s="175">
        <v>0</v>
      </c>
      <c r="S28" s="94">
        <v>0</v>
      </c>
      <c r="T28" s="94">
        <v>0</v>
      </c>
      <c r="U28" s="175">
        <v>88.4</v>
      </c>
    </row>
  </sheetData>
  <sheetProtection sheet="1" objects="1" scenarios="1"/>
  <dataValidations count="12">
    <dataValidation type="whole" operator="greaterThanOrEqual" allowBlank="1" showInputMessage="1" showErrorMessage="1" sqref="B2:B3 B6:B7" xr:uid="{00000000-0002-0000-0600-000000000000}">
      <formula1>0</formula1>
    </dataValidation>
    <dataValidation type="list" allowBlank="1" showInputMessage="1" showErrorMessage="1" sqref="P15" xr:uid="{00000000-0002-0000-0600-000002000000}">
      <formula1>"deg,rad"</formula1>
    </dataValidation>
    <dataValidation type="list" allowBlank="1" showInputMessage="1" showErrorMessage="1" sqref="Q15" xr:uid="{23247EE1-25F1-49AA-A2E1-A99CC2B1FEC7}">
      <formula1>"mm,cm,m,in,ft"</formula1>
    </dataValidation>
    <dataValidation type="list" allowBlank="1" showInputMessage="1" showErrorMessage="1" sqref="R15" xr:uid="{00000000-0002-0000-0600-000004000000}">
      <formula1>"cm^2,m^2,in^2,ft^2"</formula1>
    </dataValidation>
    <dataValidation type="list" allowBlank="1" showInputMessage="1" showErrorMessage="1" sqref="U15" xr:uid="{00000000-0002-0000-0600-000005000000}">
      <formula1>"BTU,cal,J,kJ,MBTU,MW d,lbf ft"</formula1>
    </dataValidation>
    <dataValidation allowBlank="1" showInputMessage="1" showErrorMessage="1" sqref="T49:U1048576 S49:S1048576 A49:J1048576 M49:N1048576 O49:O1048576 K49:K1048576 L49:L1048576 P49:R1048576 K29:K48 L29:N48 S29:S48 P29:R48 T29:U48 O29:O48 A29:J48 A16:J28 K23:K28 L16:N28 S23:S28 P16:R28 T16:U28" xr:uid="{00000000-0002-0000-0600-000006000000}"/>
    <dataValidation type="list" allowBlank="1" showInputMessage="1" showErrorMessage="1" sqref="G15:J15" xr:uid="{00000000-0002-0000-0600-000007000000}">
      <formula1>"wt%,wtppt,wtppm"</formula1>
    </dataValidation>
    <dataValidation type="list" allowBlank="1" showInputMessage="1" showErrorMessage="1" sqref="M15:N15" xr:uid="{8822CE5B-DF53-443B-91F7-36F807BAF26F}">
      <formula1>"C,K,F,R"</formula1>
    </dataValidation>
    <dataValidation type="list" allowBlank="1" showInputMessage="1" showErrorMessage="1" sqref="F15" xr:uid="{8CA2013B-91B9-45F0-A072-D1DA1C38F21B}">
      <formula1>"particles/cm^2,particles/m^2"</formula1>
    </dataValidation>
    <dataValidation type="list" allowBlank="1" showInputMessage="1" showErrorMessage="1" sqref="K16 K17 K18 K19 K20 K21 K22" xr:uid="{7CB241FB-6611-4D99-B343-99B83DE3AB47}">
      <formula1>"1.Ni-addition welds,2.Non Ni-addition welds,1,2"</formula1>
    </dataValidation>
    <dataValidation type="list" allowBlank="1" showInputMessage="1" showErrorMessage="1" sqref="S16 S17 S18 S19 S20 S21 S22" xr:uid="{BD1CF310-FC5B-4E42-AD0B-7C063263817D}">
      <formula1>"1.axial,2.circumferential,1,2"</formula1>
    </dataValidation>
    <dataValidation type="list" allowBlank="1" showInputMessage="1" showErrorMessage="1" sqref="O16 O17 O18 O19 O20 O21 O22 O23 O24 O25 O26 O27 O28" xr:uid="{CDF5C148-A36E-4944-A968-FFF75990A7C7}">
      <formula1>"11.weld major region/ no chemistry-factor override,12.weld major region/ with chemistry-factor override,21.plate major region/ no chemistry-factor override,22.plate major region/ with chemistry-factor override,31.forging major region,11,12,21,22,31"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AVPFM_Input">
    <tabColor rgb="FF92D050"/>
  </sheetPr>
  <dimension ref="A1:A345"/>
  <sheetViews>
    <sheetView zoomScaleNormal="100" workbookViewId="0">
      <pane ySplit="7" topLeftCell="A20" activePane="bottomLeft" state="frozen"/>
      <selection pane="bottomLeft"/>
    </sheetView>
  </sheetViews>
  <sheetFormatPr defaultRowHeight="15" x14ac:dyDescent="0.25"/>
  <cols>
    <col min="1" max="1" width="110.7109375" style="205" customWidth="1"/>
  </cols>
  <sheetData>
    <row r="1" spans="1:1" x14ac:dyDescent="0.25">
      <c r="A1" s="205" t="s">
        <v>206</v>
      </c>
    </row>
    <row r="2" spans="1:1" x14ac:dyDescent="0.25">
      <c r="A2" s="205" t="s">
        <v>397</v>
      </c>
    </row>
    <row r="3" spans="1:1" x14ac:dyDescent="0.25">
      <c r="A3" s="205" t="s">
        <v>318</v>
      </c>
    </row>
    <row r="4" spans="1:1" x14ac:dyDescent="0.25">
      <c r="A4" s="205" t="s">
        <v>319</v>
      </c>
    </row>
    <row r="5" spans="1:1" x14ac:dyDescent="0.25">
      <c r="A5" s="205" t="s">
        <v>415</v>
      </c>
    </row>
    <row r="6" spans="1:1" x14ac:dyDescent="0.25">
      <c r="A6" s="205" t="s">
        <v>320</v>
      </c>
    </row>
    <row r="7" spans="1:1" x14ac:dyDescent="0.25">
      <c r="A7" s="205" t="s">
        <v>416</v>
      </c>
    </row>
    <row r="8" spans="1:1" x14ac:dyDescent="0.25">
      <c r="A8" s="205" t="s">
        <v>391</v>
      </c>
    </row>
    <row r="9" spans="1:1" x14ac:dyDescent="0.25">
      <c r="A9" s="205" t="s">
        <v>417</v>
      </c>
    </row>
    <row r="10" spans="1:1" x14ac:dyDescent="0.25">
      <c r="A10" s="205" t="s">
        <v>392</v>
      </c>
    </row>
    <row r="11" spans="1:1" x14ac:dyDescent="0.25">
      <c r="A11" s="205" t="s">
        <v>418</v>
      </c>
    </row>
    <row r="12" spans="1:1" x14ac:dyDescent="0.25">
      <c r="A12" s="205" t="s">
        <v>321</v>
      </c>
    </row>
    <row r="13" spans="1:1" x14ac:dyDescent="0.25">
      <c r="A13" s="205" t="s">
        <v>322</v>
      </c>
    </row>
    <row r="14" spans="1:1" x14ac:dyDescent="0.25">
      <c r="A14" s="205" t="s">
        <v>419</v>
      </c>
    </row>
    <row r="15" spans="1:1" x14ac:dyDescent="0.25">
      <c r="A15" s="205" t="s">
        <v>420</v>
      </c>
    </row>
    <row r="16" spans="1:1" x14ac:dyDescent="0.25">
      <c r="A16" s="205" t="s">
        <v>323</v>
      </c>
    </row>
    <row r="17" spans="1:1" x14ac:dyDescent="0.25">
      <c r="A17" s="205" t="s">
        <v>324</v>
      </c>
    </row>
    <row r="18" spans="1:1" x14ac:dyDescent="0.25">
      <c r="A18" s="205" t="s">
        <v>325</v>
      </c>
    </row>
    <row r="19" spans="1:1" x14ac:dyDescent="0.25">
      <c r="A19" s="205" t="s">
        <v>394</v>
      </c>
    </row>
    <row r="20" spans="1:1" x14ac:dyDescent="0.25">
      <c r="A20" s="205" t="s">
        <v>421</v>
      </c>
    </row>
    <row r="21" spans="1:1" x14ac:dyDescent="0.25">
      <c r="A21" s="205" t="s">
        <v>326</v>
      </c>
    </row>
    <row r="22" spans="1:1" x14ac:dyDescent="0.25">
      <c r="A22" s="205" t="s">
        <v>327</v>
      </c>
    </row>
    <row r="23" spans="1:1" x14ac:dyDescent="0.25">
      <c r="A23" s="205" t="s">
        <v>328</v>
      </c>
    </row>
    <row r="24" spans="1:1" x14ac:dyDescent="0.25">
      <c r="A24" s="205" t="s">
        <v>329</v>
      </c>
    </row>
    <row r="25" spans="1:1" x14ac:dyDescent="0.25">
      <c r="A25" s="205" t="s">
        <v>330</v>
      </c>
    </row>
    <row r="26" spans="1:1" x14ac:dyDescent="0.25">
      <c r="A26" s="205" t="s">
        <v>331</v>
      </c>
    </row>
    <row r="27" spans="1:1" x14ac:dyDescent="0.25">
      <c r="A27" s="205" t="s">
        <v>332</v>
      </c>
    </row>
    <row r="28" spans="1:1" x14ac:dyDescent="0.25">
      <c r="A28" s="205" t="s">
        <v>333</v>
      </c>
    </row>
    <row r="29" spans="1:1" x14ac:dyDescent="0.25">
      <c r="A29" s="205" t="s">
        <v>334</v>
      </c>
    </row>
    <row r="30" spans="1:1" x14ac:dyDescent="0.25">
      <c r="A30" s="205" t="s">
        <v>209</v>
      </c>
    </row>
    <row r="31" spans="1:1" x14ac:dyDescent="0.25">
      <c r="A31" s="205" t="s">
        <v>422</v>
      </c>
    </row>
    <row r="32" spans="1:1" x14ac:dyDescent="0.25">
      <c r="A32" s="205" t="s">
        <v>423</v>
      </c>
    </row>
    <row r="33" spans="1:1" x14ac:dyDescent="0.25">
      <c r="A33" s="205" t="s">
        <v>424</v>
      </c>
    </row>
    <row r="34" spans="1:1" x14ac:dyDescent="0.25">
      <c r="A34" s="205" t="s">
        <v>425</v>
      </c>
    </row>
    <row r="35" spans="1:1" x14ac:dyDescent="0.25">
      <c r="A35" s="205" t="s">
        <v>209</v>
      </c>
    </row>
    <row r="36" spans="1:1" x14ac:dyDescent="0.25">
      <c r="A36" s="205" t="s">
        <v>398</v>
      </c>
    </row>
    <row r="37" spans="1:1" x14ac:dyDescent="0.25">
      <c r="A37" s="205" t="s">
        <v>240</v>
      </c>
    </row>
    <row r="38" spans="1:1" x14ac:dyDescent="0.25">
      <c r="A38" s="205" t="s">
        <v>268</v>
      </c>
    </row>
    <row r="39" spans="1:1" x14ac:dyDescent="0.25">
      <c r="A39" s="205" t="s">
        <v>399</v>
      </c>
    </row>
    <row r="40" spans="1:1" x14ac:dyDescent="0.25">
      <c r="A40" s="205" t="s">
        <v>404</v>
      </c>
    </row>
    <row r="41" spans="1:1" x14ac:dyDescent="0.25">
      <c r="A41" s="205" t="s">
        <v>407</v>
      </c>
    </row>
    <row r="42" spans="1:1" x14ac:dyDescent="0.25">
      <c r="A42" s="205" t="s">
        <v>235</v>
      </c>
    </row>
    <row r="43" spans="1:1" x14ac:dyDescent="0.25">
      <c r="A43" s="205" t="s">
        <v>240</v>
      </c>
    </row>
    <row r="44" spans="1:1" x14ac:dyDescent="0.25">
      <c r="A44" s="205" t="s">
        <v>396</v>
      </c>
    </row>
    <row r="45" spans="1:1" x14ac:dyDescent="0.25">
      <c r="A45" s="205" t="s">
        <v>400</v>
      </c>
    </row>
    <row r="46" spans="1:1" x14ac:dyDescent="0.25">
      <c r="A46" s="205" t="s">
        <v>405</v>
      </c>
    </row>
    <row r="47" spans="1:1" x14ac:dyDescent="0.25">
      <c r="A47" s="205" t="s">
        <v>408</v>
      </c>
    </row>
    <row r="48" spans="1:1" x14ac:dyDescent="0.25">
      <c r="A48" s="205" t="s">
        <v>235</v>
      </c>
    </row>
    <row r="49" spans="1:1" x14ac:dyDescent="0.25">
      <c r="A49" s="205" t="s">
        <v>240</v>
      </c>
    </row>
    <row r="50" spans="1:1" x14ac:dyDescent="0.25">
      <c r="A50" s="205" t="s">
        <v>401</v>
      </c>
    </row>
    <row r="51" spans="1:1" x14ac:dyDescent="0.25">
      <c r="A51" s="205" t="s">
        <v>402</v>
      </c>
    </row>
    <row r="52" spans="1:1" x14ac:dyDescent="0.25">
      <c r="A52" s="205" t="s">
        <v>406</v>
      </c>
    </row>
    <row r="53" spans="1:1" x14ac:dyDescent="0.25">
      <c r="A53" s="205" t="s">
        <v>409</v>
      </c>
    </row>
    <row r="54" spans="1:1" x14ac:dyDescent="0.25">
      <c r="A54" s="205" t="s">
        <v>247</v>
      </c>
    </row>
    <row r="55" spans="1:1" x14ac:dyDescent="0.25">
      <c r="A55" s="205" t="s">
        <v>403</v>
      </c>
    </row>
    <row r="56" spans="1:1" x14ac:dyDescent="0.25">
      <c r="A56" s="205" t="s">
        <v>335</v>
      </c>
    </row>
    <row r="57" spans="1:1" x14ac:dyDescent="0.25">
      <c r="A57" s="205" t="s">
        <v>240</v>
      </c>
    </row>
    <row r="58" spans="1:1" x14ac:dyDescent="0.25">
      <c r="A58" s="205" t="s">
        <v>336</v>
      </c>
    </row>
    <row r="59" spans="1:1" x14ac:dyDescent="0.25">
      <c r="A59" s="205" t="s">
        <v>337</v>
      </c>
    </row>
    <row r="60" spans="1:1" x14ac:dyDescent="0.25">
      <c r="A60" s="205" t="s">
        <v>338</v>
      </c>
    </row>
    <row r="61" spans="1:1" x14ac:dyDescent="0.25">
      <c r="A61" s="205" t="s">
        <v>339</v>
      </c>
    </row>
    <row r="62" spans="1:1" x14ac:dyDescent="0.25">
      <c r="A62" s="205" t="s">
        <v>426</v>
      </c>
    </row>
    <row r="63" spans="1:1" x14ac:dyDescent="0.25">
      <c r="A63" s="205" t="s">
        <v>427</v>
      </c>
    </row>
    <row r="64" spans="1:1" x14ac:dyDescent="0.25">
      <c r="A64" s="205" t="s">
        <v>428</v>
      </c>
    </row>
    <row r="65" spans="1:1" x14ac:dyDescent="0.25">
      <c r="A65" s="205" t="s">
        <v>366</v>
      </c>
    </row>
    <row r="66" spans="1:1" x14ac:dyDescent="0.25">
      <c r="A66" s="205" t="s">
        <v>340</v>
      </c>
    </row>
    <row r="67" spans="1:1" x14ac:dyDescent="0.25">
      <c r="A67" s="205" t="s">
        <v>367</v>
      </c>
    </row>
    <row r="68" spans="1:1" x14ac:dyDescent="0.25">
      <c r="A68" s="205" t="s">
        <v>372</v>
      </c>
    </row>
    <row r="69" spans="1:1" x14ac:dyDescent="0.25">
      <c r="A69" s="205" t="s">
        <v>429</v>
      </c>
    </row>
    <row r="70" spans="1:1" x14ac:dyDescent="0.25">
      <c r="A70" s="205" t="s">
        <v>430</v>
      </c>
    </row>
    <row r="71" spans="1:1" x14ac:dyDescent="0.25">
      <c r="A71" s="205" t="s">
        <v>341</v>
      </c>
    </row>
    <row r="72" spans="1:1" x14ac:dyDescent="0.25">
      <c r="A72" s="205" t="s">
        <v>431</v>
      </c>
    </row>
    <row r="73" spans="1:1" x14ac:dyDescent="0.25">
      <c r="A73" s="205" t="s">
        <v>432</v>
      </c>
    </row>
    <row r="74" spans="1:1" x14ac:dyDescent="0.25">
      <c r="A74" s="205" t="s">
        <v>433</v>
      </c>
    </row>
    <row r="75" spans="1:1" x14ac:dyDescent="0.25">
      <c r="A75" s="205" t="s">
        <v>342</v>
      </c>
    </row>
    <row r="76" spans="1:1" x14ac:dyDescent="0.25">
      <c r="A76" s="205" t="s">
        <v>343</v>
      </c>
    </row>
    <row r="77" spans="1:1" x14ac:dyDescent="0.25">
      <c r="A77" s="205" t="s">
        <v>434</v>
      </c>
    </row>
    <row r="78" spans="1:1" x14ac:dyDescent="0.25">
      <c r="A78" s="205" t="s">
        <v>235</v>
      </c>
    </row>
    <row r="79" spans="1:1" x14ac:dyDescent="0.25">
      <c r="A79" s="205" t="s">
        <v>240</v>
      </c>
    </row>
    <row r="80" spans="1:1" x14ac:dyDescent="0.25">
      <c r="A80" s="205" t="s">
        <v>344</v>
      </c>
    </row>
    <row r="81" spans="1:1" x14ac:dyDescent="0.25">
      <c r="A81" s="205" t="s">
        <v>349</v>
      </c>
    </row>
    <row r="82" spans="1:1" x14ac:dyDescent="0.25">
      <c r="A82" s="205" t="s">
        <v>350</v>
      </c>
    </row>
    <row r="83" spans="1:1" x14ac:dyDescent="0.25">
      <c r="A83" s="205" t="s">
        <v>347</v>
      </c>
    </row>
    <row r="84" spans="1:1" x14ac:dyDescent="0.25">
      <c r="A84" s="205" t="s">
        <v>426</v>
      </c>
    </row>
    <row r="85" spans="1:1" x14ac:dyDescent="0.25">
      <c r="A85" s="205" t="s">
        <v>427</v>
      </c>
    </row>
    <row r="86" spans="1:1" x14ac:dyDescent="0.25">
      <c r="A86" s="205" t="s">
        <v>428</v>
      </c>
    </row>
    <row r="87" spans="1:1" x14ac:dyDescent="0.25">
      <c r="A87" s="205" t="s">
        <v>366</v>
      </c>
    </row>
    <row r="88" spans="1:1" x14ac:dyDescent="0.25">
      <c r="A88" s="205" t="s">
        <v>340</v>
      </c>
    </row>
    <row r="89" spans="1:1" x14ac:dyDescent="0.25">
      <c r="A89" s="205" t="s">
        <v>367</v>
      </c>
    </row>
    <row r="90" spans="1:1" x14ac:dyDescent="0.25">
      <c r="A90" s="205" t="s">
        <v>372</v>
      </c>
    </row>
    <row r="91" spans="1:1" x14ac:dyDescent="0.25">
      <c r="A91" s="205" t="s">
        <v>429</v>
      </c>
    </row>
    <row r="92" spans="1:1" x14ac:dyDescent="0.25">
      <c r="A92" s="205" t="s">
        <v>430</v>
      </c>
    </row>
    <row r="93" spans="1:1" x14ac:dyDescent="0.25">
      <c r="A93" s="205" t="s">
        <v>341</v>
      </c>
    </row>
    <row r="94" spans="1:1" x14ac:dyDescent="0.25">
      <c r="A94" s="205" t="s">
        <v>431</v>
      </c>
    </row>
    <row r="95" spans="1:1" x14ac:dyDescent="0.25">
      <c r="A95" s="205" t="s">
        <v>432</v>
      </c>
    </row>
    <row r="96" spans="1:1" x14ac:dyDescent="0.25">
      <c r="A96" s="205" t="s">
        <v>433</v>
      </c>
    </row>
    <row r="97" spans="1:1" x14ac:dyDescent="0.25">
      <c r="A97" s="205" t="s">
        <v>342</v>
      </c>
    </row>
    <row r="98" spans="1:1" x14ac:dyDescent="0.25">
      <c r="A98" s="205" t="s">
        <v>343</v>
      </c>
    </row>
    <row r="99" spans="1:1" x14ac:dyDescent="0.25">
      <c r="A99" s="205" t="s">
        <v>434</v>
      </c>
    </row>
    <row r="100" spans="1:1" x14ac:dyDescent="0.25">
      <c r="A100" s="205" t="s">
        <v>235</v>
      </c>
    </row>
    <row r="101" spans="1:1" x14ac:dyDescent="0.25">
      <c r="A101" s="205" t="s">
        <v>240</v>
      </c>
    </row>
    <row r="102" spans="1:1" x14ac:dyDescent="0.25">
      <c r="A102" s="205" t="s">
        <v>348</v>
      </c>
    </row>
    <row r="103" spans="1:1" x14ac:dyDescent="0.25">
      <c r="A103" s="205" t="s">
        <v>345</v>
      </c>
    </row>
    <row r="104" spans="1:1" x14ac:dyDescent="0.25">
      <c r="A104" s="205" t="s">
        <v>346</v>
      </c>
    </row>
    <row r="105" spans="1:1" x14ac:dyDescent="0.25">
      <c r="A105" s="205" t="s">
        <v>351</v>
      </c>
    </row>
    <row r="106" spans="1:1" x14ac:dyDescent="0.25">
      <c r="A106" s="205" t="s">
        <v>426</v>
      </c>
    </row>
    <row r="107" spans="1:1" x14ac:dyDescent="0.25">
      <c r="A107" s="205" t="s">
        <v>427</v>
      </c>
    </row>
    <row r="108" spans="1:1" x14ac:dyDescent="0.25">
      <c r="A108" s="205" t="s">
        <v>428</v>
      </c>
    </row>
    <row r="109" spans="1:1" x14ac:dyDescent="0.25">
      <c r="A109" s="205" t="s">
        <v>366</v>
      </c>
    </row>
    <row r="110" spans="1:1" x14ac:dyDescent="0.25">
      <c r="A110" s="205" t="s">
        <v>340</v>
      </c>
    </row>
    <row r="111" spans="1:1" x14ac:dyDescent="0.25">
      <c r="A111" s="205" t="s">
        <v>367</v>
      </c>
    </row>
    <row r="112" spans="1:1" x14ac:dyDescent="0.25">
      <c r="A112" s="205" t="s">
        <v>372</v>
      </c>
    </row>
    <row r="113" spans="1:1" x14ac:dyDescent="0.25">
      <c r="A113" s="205" t="s">
        <v>429</v>
      </c>
    </row>
    <row r="114" spans="1:1" x14ac:dyDescent="0.25">
      <c r="A114" s="205" t="s">
        <v>430</v>
      </c>
    </row>
    <row r="115" spans="1:1" x14ac:dyDescent="0.25">
      <c r="A115" s="205" t="s">
        <v>341</v>
      </c>
    </row>
    <row r="116" spans="1:1" x14ac:dyDescent="0.25">
      <c r="A116" s="205" t="s">
        <v>431</v>
      </c>
    </row>
    <row r="117" spans="1:1" x14ac:dyDescent="0.25">
      <c r="A117" s="205" t="s">
        <v>432</v>
      </c>
    </row>
    <row r="118" spans="1:1" x14ac:dyDescent="0.25">
      <c r="A118" s="205" t="s">
        <v>433</v>
      </c>
    </row>
    <row r="119" spans="1:1" x14ac:dyDescent="0.25">
      <c r="A119" s="205" t="s">
        <v>342</v>
      </c>
    </row>
    <row r="120" spans="1:1" x14ac:dyDescent="0.25">
      <c r="A120" s="205" t="s">
        <v>343</v>
      </c>
    </row>
    <row r="121" spans="1:1" x14ac:dyDescent="0.25">
      <c r="A121" s="205" t="s">
        <v>434</v>
      </c>
    </row>
    <row r="122" spans="1:1" x14ac:dyDescent="0.25">
      <c r="A122" s="205" t="s">
        <v>235</v>
      </c>
    </row>
    <row r="123" spans="1:1" x14ac:dyDescent="0.25">
      <c r="A123" s="205" t="s">
        <v>240</v>
      </c>
    </row>
    <row r="124" spans="1:1" x14ac:dyDescent="0.25">
      <c r="A124" s="205" t="s">
        <v>352</v>
      </c>
    </row>
    <row r="125" spans="1:1" x14ac:dyDescent="0.25">
      <c r="A125" s="205" t="s">
        <v>353</v>
      </c>
    </row>
    <row r="126" spans="1:1" x14ac:dyDescent="0.25">
      <c r="A126" s="205" t="s">
        <v>354</v>
      </c>
    </row>
    <row r="127" spans="1:1" x14ac:dyDescent="0.25">
      <c r="A127" s="205" t="s">
        <v>355</v>
      </c>
    </row>
    <row r="128" spans="1:1" x14ac:dyDescent="0.25">
      <c r="A128" s="205" t="s">
        <v>435</v>
      </c>
    </row>
    <row r="129" spans="1:1" x14ac:dyDescent="0.25">
      <c r="A129" s="205" t="s">
        <v>436</v>
      </c>
    </row>
    <row r="130" spans="1:1" x14ac:dyDescent="0.25">
      <c r="A130" s="205" t="s">
        <v>437</v>
      </c>
    </row>
    <row r="131" spans="1:1" x14ac:dyDescent="0.25">
      <c r="A131" s="205" t="s">
        <v>438</v>
      </c>
    </row>
    <row r="132" spans="1:1" x14ac:dyDescent="0.25">
      <c r="A132" s="205" t="s">
        <v>340</v>
      </c>
    </row>
    <row r="133" spans="1:1" x14ac:dyDescent="0.25">
      <c r="A133" s="205" t="s">
        <v>367</v>
      </c>
    </row>
    <row r="134" spans="1:1" x14ac:dyDescent="0.25">
      <c r="A134" s="205" t="s">
        <v>372</v>
      </c>
    </row>
    <row r="135" spans="1:1" x14ac:dyDescent="0.25">
      <c r="A135" s="205" t="s">
        <v>429</v>
      </c>
    </row>
    <row r="136" spans="1:1" x14ac:dyDescent="0.25">
      <c r="A136" s="205" t="s">
        <v>430</v>
      </c>
    </row>
    <row r="137" spans="1:1" x14ac:dyDescent="0.25">
      <c r="A137" s="205" t="s">
        <v>341</v>
      </c>
    </row>
    <row r="138" spans="1:1" x14ac:dyDescent="0.25">
      <c r="A138" s="205" t="s">
        <v>431</v>
      </c>
    </row>
    <row r="139" spans="1:1" x14ac:dyDescent="0.25">
      <c r="A139" s="205" t="s">
        <v>439</v>
      </c>
    </row>
    <row r="140" spans="1:1" x14ac:dyDescent="0.25">
      <c r="A140" s="205" t="s">
        <v>440</v>
      </c>
    </row>
    <row r="141" spans="1:1" x14ac:dyDescent="0.25">
      <c r="A141" s="205" t="s">
        <v>342</v>
      </c>
    </row>
    <row r="142" spans="1:1" x14ac:dyDescent="0.25">
      <c r="A142" s="205" t="s">
        <v>343</v>
      </c>
    </row>
    <row r="143" spans="1:1" x14ac:dyDescent="0.25">
      <c r="A143" s="205" t="s">
        <v>434</v>
      </c>
    </row>
    <row r="144" spans="1:1" x14ac:dyDescent="0.25">
      <c r="A144" s="205" t="s">
        <v>235</v>
      </c>
    </row>
    <row r="145" spans="1:1" x14ac:dyDescent="0.25">
      <c r="A145" s="205" t="s">
        <v>240</v>
      </c>
    </row>
    <row r="146" spans="1:1" x14ac:dyDescent="0.25">
      <c r="A146" s="205" t="s">
        <v>356</v>
      </c>
    </row>
    <row r="147" spans="1:1" x14ac:dyDescent="0.25">
      <c r="A147" s="205" t="s">
        <v>361</v>
      </c>
    </row>
    <row r="148" spans="1:1" x14ac:dyDescent="0.25">
      <c r="A148" s="205" t="s">
        <v>362</v>
      </c>
    </row>
    <row r="149" spans="1:1" x14ac:dyDescent="0.25">
      <c r="A149" s="205" t="s">
        <v>359</v>
      </c>
    </row>
    <row r="150" spans="1:1" x14ac:dyDescent="0.25">
      <c r="A150" s="205" t="s">
        <v>435</v>
      </c>
    </row>
    <row r="151" spans="1:1" x14ac:dyDescent="0.25">
      <c r="A151" s="205" t="s">
        <v>436</v>
      </c>
    </row>
    <row r="152" spans="1:1" x14ac:dyDescent="0.25">
      <c r="A152" s="205" t="s">
        <v>437</v>
      </c>
    </row>
    <row r="153" spans="1:1" x14ac:dyDescent="0.25">
      <c r="A153" s="205" t="s">
        <v>438</v>
      </c>
    </row>
    <row r="154" spans="1:1" x14ac:dyDescent="0.25">
      <c r="A154" s="205" t="s">
        <v>340</v>
      </c>
    </row>
    <row r="155" spans="1:1" x14ac:dyDescent="0.25">
      <c r="A155" s="205" t="s">
        <v>367</v>
      </c>
    </row>
    <row r="156" spans="1:1" x14ac:dyDescent="0.25">
      <c r="A156" s="205" t="s">
        <v>372</v>
      </c>
    </row>
    <row r="157" spans="1:1" x14ac:dyDescent="0.25">
      <c r="A157" s="205" t="s">
        <v>429</v>
      </c>
    </row>
    <row r="158" spans="1:1" x14ac:dyDescent="0.25">
      <c r="A158" s="205" t="s">
        <v>430</v>
      </c>
    </row>
    <row r="159" spans="1:1" x14ac:dyDescent="0.25">
      <c r="A159" s="205" t="s">
        <v>341</v>
      </c>
    </row>
    <row r="160" spans="1:1" x14ac:dyDescent="0.25">
      <c r="A160" s="205" t="s">
        <v>431</v>
      </c>
    </row>
    <row r="161" spans="1:1" x14ac:dyDescent="0.25">
      <c r="A161" s="205" t="s">
        <v>439</v>
      </c>
    </row>
    <row r="162" spans="1:1" x14ac:dyDescent="0.25">
      <c r="A162" s="205" t="s">
        <v>440</v>
      </c>
    </row>
    <row r="163" spans="1:1" x14ac:dyDescent="0.25">
      <c r="A163" s="205" t="s">
        <v>342</v>
      </c>
    </row>
    <row r="164" spans="1:1" x14ac:dyDescent="0.25">
      <c r="A164" s="205" t="s">
        <v>343</v>
      </c>
    </row>
    <row r="165" spans="1:1" x14ac:dyDescent="0.25">
      <c r="A165" s="205" t="s">
        <v>434</v>
      </c>
    </row>
    <row r="166" spans="1:1" x14ac:dyDescent="0.25">
      <c r="A166" s="205" t="s">
        <v>235</v>
      </c>
    </row>
    <row r="167" spans="1:1" x14ac:dyDescent="0.25">
      <c r="A167" s="205" t="s">
        <v>240</v>
      </c>
    </row>
    <row r="168" spans="1:1" x14ac:dyDescent="0.25">
      <c r="A168" s="205" t="s">
        <v>360</v>
      </c>
    </row>
    <row r="169" spans="1:1" x14ac:dyDescent="0.25">
      <c r="A169" s="205" t="s">
        <v>357</v>
      </c>
    </row>
    <row r="170" spans="1:1" x14ac:dyDescent="0.25">
      <c r="A170" s="205" t="s">
        <v>358</v>
      </c>
    </row>
    <row r="171" spans="1:1" x14ac:dyDescent="0.25">
      <c r="A171" s="205" t="s">
        <v>363</v>
      </c>
    </row>
    <row r="172" spans="1:1" x14ac:dyDescent="0.25">
      <c r="A172" s="205" t="s">
        <v>435</v>
      </c>
    </row>
    <row r="173" spans="1:1" x14ac:dyDescent="0.25">
      <c r="A173" s="205" t="s">
        <v>436</v>
      </c>
    </row>
    <row r="174" spans="1:1" x14ac:dyDescent="0.25">
      <c r="A174" s="205" t="s">
        <v>437</v>
      </c>
    </row>
    <row r="175" spans="1:1" x14ac:dyDescent="0.25">
      <c r="A175" s="205" t="s">
        <v>438</v>
      </c>
    </row>
    <row r="176" spans="1:1" x14ac:dyDescent="0.25">
      <c r="A176" s="205" t="s">
        <v>340</v>
      </c>
    </row>
    <row r="177" spans="1:1" x14ac:dyDescent="0.25">
      <c r="A177" s="205" t="s">
        <v>367</v>
      </c>
    </row>
    <row r="178" spans="1:1" x14ac:dyDescent="0.25">
      <c r="A178" s="205" t="s">
        <v>372</v>
      </c>
    </row>
    <row r="179" spans="1:1" x14ac:dyDescent="0.25">
      <c r="A179" s="205" t="s">
        <v>429</v>
      </c>
    </row>
    <row r="180" spans="1:1" x14ac:dyDescent="0.25">
      <c r="A180" s="205" t="s">
        <v>430</v>
      </c>
    </row>
    <row r="181" spans="1:1" x14ac:dyDescent="0.25">
      <c r="A181" s="205" t="s">
        <v>341</v>
      </c>
    </row>
    <row r="182" spans="1:1" x14ac:dyDescent="0.25">
      <c r="A182" s="205" t="s">
        <v>431</v>
      </c>
    </row>
    <row r="183" spans="1:1" x14ac:dyDescent="0.25">
      <c r="A183" s="205" t="s">
        <v>439</v>
      </c>
    </row>
    <row r="184" spans="1:1" x14ac:dyDescent="0.25">
      <c r="A184" s="205" t="s">
        <v>440</v>
      </c>
    </row>
    <row r="185" spans="1:1" x14ac:dyDescent="0.25">
      <c r="A185" s="205" t="s">
        <v>342</v>
      </c>
    </row>
    <row r="186" spans="1:1" x14ac:dyDescent="0.25">
      <c r="A186" s="205" t="s">
        <v>343</v>
      </c>
    </row>
    <row r="187" spans="1:1" x14ac:dyDescent="0.25">
      <c r="A187" s="205" t="s">
        <v>434</v>
      </c>
    </row>
    <row r="188" spans="1:1" x14ac:dyDescent="0.25">
      <c r="A188" s="205" t="s">
        <v>235</v>
      </c>
    </row>
    <row r="189" spans="1:1" x14ac:dyDescent="0.25">
      <c r="A189" s="205" t="s">
        <v>240</v>
      </c>
    </row>
    <row r="190" spans="1:1" x14ac:dyDescent="0.25">
      <c r="A190" s="205" t="s">
        <v>364</v>
      </c>
    </row>
    <row r="191" spans="1:1" x14ac:dyDescent="0.25">
      <c r="A191" s="205" t="s">
        <v>337</v>
      </c>
    </row>
    <row r="192" spans="1:1" x14ac:dyDescent="0.25">
      <c r="A192" s="205" t="s">
        <v>362</v>
      </c>
    </row>
    <row r="193" spans="1:1" x14ac:dyDescent="0.25">
      <c r="A193" s="205" t="s">
        <v>365</v>
      </c>
    </row>
    <row r="194" spans="1:1" x14ac:dyDescent="0.25">
      <c r="A194" s="205" t="s">
        <v>435</v>
      </c>
    </row>
    <row r="195" spans="1:1" x14ac:dyDescent="0.25">
      <c r="A195" s="205" t="s">
        <v>441</v>
      </c>
    </row>
    <row r="196" spans="1:1" x14ac:dyDescent="0.25">
      <c r="A196" s="205" t="s">
        <v>442</v>
      </c>
    </row>
    <row r="197" spans="1:1" x14ac:dyDescent="0.25">
      <c r="A197" s="205" t="s">
        <v>443</v>
      </c>
    </row>
    <row r="198" spans="1:1" x14ac:dyDescent="0.25">
      <c r="A198" s="205" t="s">
        <v>340</v>
      </c>
    </row>
    <row r="199" spans="1:1" x14ac:dyDescent="0.25">
      <c r="A199" s="205" t="s">
        <v>367</v>
      </c>
    </row>
    <row r="200" spans="1:1" x14ac:dyDescent="0.25">
      <c r="A200" s="205" t="s">
        <v>372</v>
      </c>
    </row>
    <row r="201" spans="1:1" x14ac:dyDescent="0.25">
      <c r="A201" s="205" t="s">
        <v>429</v>
      </c>
    </row>
    <row r="202" spans="1:1" x14ac:dyDescent="0.25">
      <c r="A202" s="205" t="s">
        <v>430</v>
      </c>
    </row>
    <row r="203" spans="1:1" x14ac:dyDescent="0.25">
      <c r="A203" s="205" t="s">
        <v>341</v>
      </c>
    </row>
    <row r="204" spans="1:1" x14ac:dyDescent="0.25">
      <c r="A204" s="205" t="s">
        <v>368</v>
      </c>
    </row>
    <row r="205" spans="1:1" x14ac:dyDescent="0.25">
      <c r="A205" s="205" t="s">
        <v>444</v>
      </c>
    </row>
    <row r="206" spans="1:1" x14ac:dyDescent="0.25">
      <c r="A206" s="205" t="s">
        <v>445</v>
      </c>
    </row>
    <row r="207" spans="1:1" x14ac:dyDescent="0.25">
      <c r="A207" s="205" t="s">
        <v>369</v>
      </c>
    </row>
    <row r="208" spans="1:1" x14ac:dyDescent="0.25">
      <c r="A208" s="205" t="s">
        <v>343</v>
      </c>
    </row>
    <row r="209" spans="1:1" x14ac:dyDescent="0.25">
      <c r="A209" s="205" t="s">
        <v>434</v>
      </c>
    </row>
    <row r="210" spans="1:1" x14ac:dyDescent="0.25">
      <c r="A210" s="205" t="s">
        <v>235</v>
      </c>
    </row>
    <row r="211" spans="1:1" x14ac:dyDescent="0.25">
      <c r="A211" s="205" t="s">
        <v>240</v>
      </c>
    </row>
    <row r="212" spans="1:1" x14ac:dyDescent="0.25">
      <c r="A212" s="205" t="s">
        <v>370</v>
      </c>
    </row>
    <row r="213" spans="1:1" x14ac:dyDescent="0.25">
      <c r="A213" s="205" t="s">
        <v>337</v>
      </c>
    </row>
    <row r="214" spans="1:1" x14ac:dyDescent="0.25">
      <c r="A214" s="205" t="s">
        <v>350</v>
      </c>
    </row>
    <row r="215" spans="1:1" x14ac:dyDescent="0.25">
      <c r="A215" s="205" t="s">
        <v>371</v>
      </c>
    </row>
    <row r="216" spans="1:1" x14ac:dyDescent="0.25">
      <c r="A216" s="205" t="s">
        <v>426</v>
      </c>
    </row>
    <row r="217" spans="1:1" x14ac:dyDescent="0.25">
      <c r="A217" s="205" t="s">
        <v>446</v>
      </c>
    </row>
    <row r="218" spans="1:1" x14ac:dyDescent="0.25">
      <c r="A218" s="205" t="s">
        <v>447</v>
      </c>
    </row>
    <row r="219" spans="1:1" x14ac:dyDescent="0.25">
      <c r="A219" s="205" t="s">
        <v>389</v>
      </c>
    </row>
    <row r="220" spans="1:1" x14ac:dyDescent="0.25">
      <c r="A220" s="205" t="s">
        <v>340</v>
      </c>
    </row>
    <row r="221" spans="1:1" x14ac:dyDescent="0.25">
      <c r="A221" s="205" t="s">
        <v>448</v>
      </c>
    </row>
    <row r="222" spans="1:1" x14ac:dyDescent="0.25">
      <c r="A222" s="205" t="s">
        <v>372</v>
      </c>
    </row>
    <row r="223" spans="1:1" x14ac:dyDescent="0.25">
      <c r="A223" s="205" t="s">
        <v>449</v>
      </c>
    </row>
    <row r="224" spans="1:1" x14ac:dyDescent="0.25">
      <c r="A224" s="205" t="s">
        <v>430</v>
      </c>
    </row>
    <row r="225" spans="1:1" x14ac:dyDescent="0.25">
      <c r="A225" s="205" t="s">
        <v>373</v>
      </c>
    </row>
    <row r="226" spans="1:1" x14ac:dyDescent="0.25">
      <c r="A226" s="205" t="s">
        <v>450</v>
      </c>
    </row>
    <row r="227" spans="1:1" x14ac:dyDescent="0.25">
      <c r="A227" s="205" t="s">
        <v>432</v>
      </c>
    </row>
    <row r="228" spans="1:1" x14ac:dyDescent="0.25">
      <c r="A228" s="205" t="s">
        <v>374</v>
      </c>
    </row>
    <row r="229" spans="1:1" x14ac:dyDescent="0.25">
      <c r="A229" s="205" t="s">
        <v>375</v>
      </c>
    </row>
    <row r="230" spans="1:1" x14ac:dyDescent="0.25">
      <c r="A230" s="205" t="s">
        <v>343</v>
      </c>
    </row>
    <row r="231" spans="1:1" x14ac:dyDescent="0.25">
      <c r="A231" s="205" t="s">
        <v>434</v>
      </c>
    </row>
    <row r="232" spans="1:1" x14ac:dyDescent="0.25">
      <c r="A232" s="205" t="s">
        <v>235</v>
      </c>
    </row>
    <row r="233" spans="1:1" x14ac:dyDescent="0.25">
      <c r="A233" s="205" t="s">
        <v>240</v>
      </c>
    </row>
    <row r="234" spans="1:1" x14ac:dyDescent="0.25">
      <c r="A234" s="205" t="s">
        <v>376</v>
      </c>
    </row>
    <row r="235" spans="1:1" x14ac:dyDescent="0.25">
      <c r="A235" s="205" t="s">
        <v>345</v>
      </c>
    </row>
    <row r="236" spans="1:1" x14ac:dyDescent="0.25">
      <c r="A236" s="205" t="s">
        <v>338</v>
      </c>
    </row>
    <row r="237" spans="1:1" x14ac:dyDescent="0.25">
      <c r="A237" s="205" t="s">
        <v>377</v>
      </c>
    </row>
    <row r="238" spans="1:1" x14ac:dyDescent="0.25">
      <c r="A238" s="205" t="s">
        <v>426</v>
      </c>
    </row>
    <row r="239" spans="1:1" x14ac:dyDescent="0.25">
      <c r="A239" s="205" t="s">
        <v>451</v>
      </c>
    </row>
    <row r="240" spans="1:1" x14ac:dyDescent="0.25">
      <c r="A240" s="205" t="s">
        <v>452</v>
      </c>
    </row>
    <row r="241" spans="1:1" x14ac:dyDescent="0.25">
      <c r="A241" s="205" t="s">
        <v>378</v>
      </c>
    </row>
    <row r="242" spans="1:1" x14ac:dyDescent="0.25">
      <c r="A242" s="205" t="s">
        <v>340</v>
      </c>
    </row>
    <row r="243" spans="1:1" x14ac:dyDescent="0.25">
      <c r="A243" s="205" t="s">
        <v>448</v>
      </c>
    </row>
    <row r="244" spans="1:1" x14ac:dyDescent="0.25">
      <c r="A244" s="205" t="s">
        <v>372</v>
      </c>
    </row>
    <row r="245" spans="1:1" x14ac:dyDescent="0.25">
      <c r="A245" s="205" t="s">
        <v>449</v>
      </c>
    </row>
    <row r="246" spans="1:1" x14ac:dyDescent="0.25">
      <c r="A246" s="205" t="s">
        <v>430</v>
      </c>
    </row>
    <row r="247" spans="1:1" x14ac:dyDescent="0.25">
      <c r="A247" s="205" t="s">
        <v>373</v>
      </c>
    </row>
    <row r="248" spans="1:1" x14ac:dyDescent="0.25">
      <c r="A248" s="205" t="s">
        <v>450</v>
      </c>
    </row>
    <row r="249" spans="1:1" x14ac:dyDescent="0.25">
      <c r="A249" s="205" t="s">
        <v>432</v>
      </c>
    </row>
    <row r="250" spans="1:1" x14ac:dyDescent="0.25">
      <c r="A250" s="205" t="s">
        <v>374</v>
      </c>
    </row>
    <row r="251" spans="1:1" x14ac:dyDescent="0.25">
      <c r="A251" s="205" t="s">
        <v>375</v>
      </c>
    </row>
    <row r="252" spans="1:1" x14ac:dyDescent="0.25">
      <c r="A252" s="205" t="s">
        <v>343</v>
      </c>
    </row>
    <row r="253" spans="1:1" x14ac:dyDescent="0.25">
      <c r="A253" s="205" t="s">
        <v>434</v>
      </c>
    </row>
    <row r="254" spans="1:1" x14ac:dyDescent="0.25">
      <c r="A254" s="205" t="s">
        <v>235</v>
      </c>
    </row>
    <row r="255" spans="1:1" x14ac:dyDescent="0.25">
      <c r="A255" s="205" t="s">
        <v>240</v>
      </c>
    </row>
    <row r="256" spans="1:1" x14ac:dyDescent="0.25">
      <c r="A256" s="205" t="s">
        <v>379</v>
      </c>
    </row>
    <row r="257" spans="1:1" x14ac:dyDescent="0.25">
      <c r="A257" s="205" t="s">
        <v>349</v>
      </c>
    </row>
    <row r="258" spans="1:1" x14ac:dyDescent="0.25">
      <c r="A258" s="205" t="s">
        <v>346</v>
      </c>
    </row>
    <row r="259" spans="1:1" x14ac:dyDescent="0.25">
      <c r="A259" s="205" t="s">
        <v>380</v>
      </c>
    </row>
    <row r="260" spans="1:1" x14ac:dyDescent="0.25">
      <c r="A260" s="205" t="s">
        <v>426</v>
      </c>
    </row>
    <row r="261" spans="1:1" x14ac:dyDescent="0.25">
      <c r="A261" s="205" t="s">
        <v>451</v>
      </c>
    </row>
    <row r="262" spans="1:1" x14ac:dyDescent="0.25">
      <c r="A262" s="205" t="s">
        <v>453</v>
      </c>
    </row>
    <row r="263" spans="1:1" x14ac:dyDescent="0.25">
      <c r="A263" s="205" t="s">
        <v>381</v>
      </c>
    </row>
    <row r="264" spans="1:1" x14ac:dyDescent="0.25">
      <c r="A264" s="205" t="s">
        <v>340</v>
      </c>
    </row>
    <row r="265" spans="1:1" x14ac:dyDescent="0.25">
      <c r="A265" s="205" t="s">
        <v>448</v>
      </c>
    </row>
    <row r="266" spans="1:1" x14ac:dyDescent="0.25">
      <c r="A266" s="205" t="s">
        <v>372</v>
      </c>
    </row>
    <row r="267" spans="1:1" x14ac:dyDescent="0.25">
      <c r="A267" s="205" t="s">
        <v>449</v>
      </c>
    </row>
    <row r="268" spans="1:1" x14ac:dyDescent="0.25">
      <c r="A268" s="205" t="s">
        <v>430</v>
      </c>
    </row>
    <row r="269" spans="1:1" x14ac:dyDescent="0.25">
      <c r="A269" s="205" t="s">
        <v>373</v>
      </c>
    </row>
    <row r="270" spans="1:1" x14ac:dyDescent="0.25">
      <c r="A270" s="205" t="s">
        <v>450</v>
      </c>
    </row>
    <row r="271" spans="1:1" x14ac:dyDescent="0.25">
      <c r="A271" s="205" t="s">
        <v>432</v>
      </c>
    </row>
    <row r="272" spans="1:1" x14ac:dyDescent="0.25">
      <c r="A272" s="205" t="s">
        <v>374</v>
      </c>
    </row>
    <row r="273" spans="1:1" x14ac:dyDescent="0.25">
      <c r="A273" s="205" t="s">
        <v>375</v>
      </c>
    </row>
    <row r="274" spans="1:1" x14ac:dyDescent="0.25">
      <c r="A274" s="205" t="s">
        <v>343</v>
      </c>
    </row>
    <row r="275" spans="1:1" x14ac:dyDescent="0.25">
      <c r="A275" s="205" t="s">
        <v>434</v>
      </c>
    </row>
    <row r="276" spans="1:1" x14ac:dyDescent="0.25">
      <c r="A276" s="205" t="s">
        <v>235</v>
      </c>
    </row>
    <row r="277" spans="1:1" x14ac:dyDescent="0.25">
      <c r="A277" s="205" t="s">
        <v>240</v>
      </c>
    </row>
    <row r="278" spans="1:1" x14ac:dyDescent="0.25">
      <c r="A278" s="205" t="s">
        <v>382</v>
      </c>
    </row>
    <row r="279" spans="1:1" x14ac:dyDescent="0.25">
      <c r="A279" s="205" t="s">
        <v>353</v>
      </c>
    </row>
    <row r="280" spans="1:1" x14ac:dyDescent="0.25">
      <c r="A280" s="205" t="s">
        <v>362</v>
      </c>
    </row>
    <row r="281" spans="1:1" x14ac:dyDescent="0.25">
      <c r="A281" s="205" t="s">
        <v>383</v>
      </c>
    </row>
    <row r="282" spans="1:1" x14ac:dyDescent="0.25">
      <c r="A282" s="205" t="s">
        <v>435</v>
      </c>
    </row>
    <row r="283" spans="1:1" x14ac:dyDescent="0.25">
      <c r="A283" s="205" t="s">
        <v>451</v>
      </c>
    </row>
    <row r="284" spans="1:1" x14ac:dyDescent="0.25">
      <c r="A284" s="205" t="s">
        <v>454</v>
      </c>
    </row>
    <row r="285" spans="1:1" x14ac:dyDescent="0.25">
      <c r="A285" s="205" t="s">
        <v>389</v>
      </c>
    </row>
    <row r="286" spans="1:1" x14ac:dyDescent="0.25">
      <c r="A286" s="205" t="s">
        <v>340</v>
      </c>
    </row>
    <row r="287" spans="1:1" x14ac:dyDescent="0.25">
      <c r="A287" s="205" t="s">
        <v>448</v>
      </c>
    </row>
    <row r="288" spans="1:1" x14ac:dyDescent="0.25">
      <c r="A288" s="205" t="s">
        <v>372</v>
      </c>
    </row>
    <row r="289" spans="1:1" x14ac:dyDescent="0.25">
      <c r="A289" s="205" t="s">
        <v>455</v>
      </c>
    </row>
    <row r="290" spans="1:1" x14ac:dyDescent="0.25">
      <c r="A290" s="205" t="s">
        <v>430</v>
      </c>
    </row>
    <row r="291" spans="1:1" x14ac:dyDescent="0.25">
      <c r="A291" s="205" t="s">
        <v>373</v>
      </c>
    </row>
    <row r="292" spans="1:1" x14ac:dyDescent="0.25">
      <c r="A292" s="205" t="s">
        <v>450</v>
      </c>
    </row>
    <row r="293" spans="1:1" x14ac:dyDescent="0.25">
      <c r="A293" s="205" t="s">
        <v>439</v>
      </c>
    </row>
    <row r="294" spans="1:1" x14ac:dyDescent="0.25">
      <c r="A294" s="205" t="s">
        <v>374</v>
      </c>
    </row>
    <row r="295" spans="1:1" x14ac:dyDescent="0.25">
      <c r="A295" s="205" t="s">
        <v>375</v>
      </c>
    </row>
    <row r="296" spans="1:1" x14ac:dyDescent="0.25">
      <c r="A296" s="205" t="s">
        <v>343</v>
      </c>
    </row>
    <row r="297" spans="1:1" x14ac:dyDescent="0.25">
      <c r="A297" s="205" t="s">
        <v>434</v>
      </c>
    </row>
    <row r="298" spans="1:1" x14ac:dyDescent="0.25">
      <c r="A298" s="205" t="s">
        <v>235</v>
      </c>
    </row>
    <row r="299" spans="1:1" x14ac:dyDescent="0.25">
      <c r="A299" s="205" t="s">
        <v>240</v>
      </c>
    </row>
    <row r="300" spans="1:1" x14ac:dyDescent="0.25">
      <c r="A300" s="205" t="s">
        <v>385</v>
      </c>
    </row>
    <row r="301" spans="1:1" x14ac:dyDescent="0.25">
      <c r="A301" s="205" t="s">
        <v>357</v>
      </c>
    </row>
    <row r="302" spans="1:1" x14ac:dyDescent="0.25">
      <c r="A302" s="205" t="s">
        <v>354</v>
      </c>
    </row>
    <row r="303" spans="1:1" x14ac:dyDescent="0.25">
      <c r="A303" s="205" t="s">
        <v>386</v>
      </c>
    </row>
    <row r="304" spans="1:1" x14ac:dyDescent="0.25">
      <c r="A304" s="205" t="s">
        <v>435</v>
      </c>
    </row>
    <row r="305" spans="1:1" x14ac:dyDescent="0.25">
      <c r="A305" s="205" t="s">
        <v>451</v>
      </c>
    </row>
    <row r="306" spans="1:1" x14ac:dyDescent="0.25">
      <c r="A306" s="205" t="s">
        <v>454</v>
      </c>
    </row>
    <row r="307" spans="1:1" x14ac:dyDescent="0.25">
      <c r="A307" s="205" t="s">
        <v>389</v>
      </c>
    </row>
    <row r="308" spans="1:1" x14ac:dyDescent="0.25">
      <c r="A308" s="205" t="s">
        <v>340</v>
      </c>
    </row>
    <row r="309" spans="1:1" x14ac:dyDescent="0.25">
      <c r="A309" s="205" t="s">
        <v>448</v>
      </c>
    </row>
    <row r="310" spans="1:1" x14ac:dyDescent="0.25">
      <c r="A310" s="205" t="s">
        <v>372</v>
      </c>
    </row>
    <row r="311" spans="1:1" x14ac:dyDescent="0.25">
      <c r="A311" s="205" t="s">
        <v>456</v>
      </c>
    </row>
    <row r="312" spans="1:1" x14ac:dyDescent="0.25">
      <c r="A312" s="205" t="s">
        <v>430</v>
      </c>
    </row>
    <row r="313" spans="1:1" x14ac:dyDescent="0.25">
      <c r="A313" s="205" t="s">
        <v>373</v>
      </c>
    </row>
    <row r="314" spans="1:1" x14ac:dyDescent="0.25">
      <c r="A314" s="205" t="s">
        <v>450</v>
      </c>
    </row>
    <row r="315" spans="1:1" x14ac:dyDescent="0.25">
      <c r="A315" s="205" t="s">
        <v>439</v>
      </c>
    </row>
    <row r="316" spans="1:1" x14ac:dyDescent="0.25">
      <c r="A316" s="205" t="s">
        <v>374</v>
      </c>
    </row>
    <row r="317" spans="1:1" x14ac:dyDescent="0.25">
      <c r="A317" s="205" t="s">
        <v>375</v>
      </c>
    </row>
    <row r="318" spans="1:1" x14ac:dyDescent="0.25">
      <c r="A318" s="205" t="s">
        <v>343</v>
      </c>
    </row>
    <row r="319" spans="1:1" x14ac:dyDescent="0.25">
      <c r="A319" s="205" t="s">
        <v>434</v>
      </c>
    </row>
    <row r="320" spans="1:1" x14ac:dyDescent="0.25">
      <c r="A320" s="205" t="s">
        <v>235</v>
      </c>
    </row>
    <row r="321" spans="1:1" x14ac:dyDescent="0.25">
      <c r="A321" s="205" t="s">
        <v>240</v>
      </c>
    </row>
    <row r="322" spans="1:1" x14ac:dyDescent="0.25">
      <c r="A322" s="205" t="s">
        <v>387</v>
      </c>
    </row>
    <row r="323" spans="1:1" x14ac:dyDescent="0.25">
      <c r="A323" s="205" t="s">
        <v>361</v>
      </c>
    </row>
    <row r="324" spans="1:1" x14ac:dyDescent="0.25">
      <c r="A324" s="205" t="s">
        <v>358</v>
      </c>
    </row>
    <row r="325" spans="1:1" x14ac:dyDescent="0.25">
      <c r="A325" s="205" t="s">
        <v>388</v>
      </c>
    </row>
    <row r="326" spans="1:1" x14ac:dyDescent="0.25">
      <c r="A326" s="205" t="s">
        <v>435</v>
      </c>
    </row>
    <row r="327" spans="1:1" x14ac:dyDescent="0.25">
      <c r="A327" s="205" t="s">
        <v>457</v>
      </c>
    </row>
    <row r="328" spans="1:1" x14ac:dyDescent="0.25">
      <c r="A328" s="205" t="s">
        <v>458</v>
      </c>
    </row>
    <row r="329" spans="1:1" x14ac:dyDescent="0.25">
      <c r="A329" s="205" t="s">
        <v>384</v>
      </c>
    </row>
    <row r="330" spans="1:1" x14ac:dyDescent="0.25">
      <c r="A330" s="205" t="s">
        <v>340</v>
      </c>
    </row>
    <row r="331" spans="1:1" x14ac:dyDescent="0.25">
      <c r="A331" s="205" t="s">
        <v>448</v>
      </c>
    </row>
    <row r="332" spans="1:1" x14ac:dyDescent="0.25">
      <c r="A332" s="205" t="s">
        <v>372</v>
      </c>
    </row>
    <row r="333" spans="1:1" x14ac:dyDescent="0.25">
      <c r="A333" s="205" t="s">
        <v>459</v>
      </c>
    </row>
    <row r="334" spans="1:1" x14ac:dyDescent="0.25">
      <c r="A334" s="205" t="s">
        <v>430</v>
      </c>
    </row>
    <row r="335" spans="1:1" x14ac:dyDescent="0.25">
      <c r="A335" s="205" t="s">
        <v>373</v>
      </c>
    </row>
    <row r="336" spans="1:1" x14ac:dyDescent="0.25">
      <c r="A336" s="205" t="s">
        <v>450</v>
      </c>
    </row>
    <row r="337" spans="1:1" x14ac:dyDescent="0.25">
      <c r="A337" s="205" t="s">
        <v>439</v>
      </c>
    </row>
    <row r="338" spans="1:1" x14ac:dyDescent="0.25">
      <c r="A338" s="205" t="s">
        <v>374</v>
      </c>
    </row>
    <row r="339" spans="1:1" x14ac:dyDescent="0.25">
      <c r="A339" s="205" t="s">
        <v>375</v>
      </c>
    </row>
    <row r="340" spans="1:1" x14ac:dyDescent="0.25">
      <c r="A340" s="205" t="s">
        <v>343</v>
      </c>
    </row>
    <row r="341" spans="1:1" x14ac:dyDescent="0.25">
      <c r="A341" s="205" t="s">
        <v>434</v>
      </c>
    </row>
    <row r="342" spans="1:1" x14ac:dyDescent="0.25">
      <c r="A342" s="205" t="s">
        <v>247</v>
      </c>
    </row>
    <row r="343" spans="1:1" x14ac:dyDescent="0.25">
      <c r="A343" s="205" t="s">
        <v>390</v>
      </c>
    </row>
    <row r="344" spans="1:1" x14ac:dyDescent="0.25">
      <c r="A344" s="205" t="s">
        <v>254</v>
      </c>
    </row>
    <row r="345" spans="1:1" x14ac:dyDescent="0.25">
      <c r="A345" s="205" t="s">
        <v>258</v>
      </c>
    </row>
  </sheetData>
  <sheetProtection sheet="1" objects="1" scenarios="1"/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AVPost_Distributions">
    <tabColor rgb="FF00B0F0"/>
  </sheetPr>
  <dimension ref="A1:Q32"/>
  <sheetViews>
    <sheetView workbookViewId="0"/>
  </sheetViews>
  <sheetFormatPr defaultColWidth="0" defaultRowHeight="15" x14ac:dyDescent="0.25"/>
  <cols>
    <col min="1" max="1" width="39.42578125" style="85" bestFit="1" customWidth="1"/>
    <col min="2" max="2" width="12.85546875" style="100" bestFit="1" customWidth="1"/>
    <col min="3" max="3" width="12.85546875" style="101" bestFit="1" customWidth="1"/>
    <col min="4" max="4" width="8.7109375" style="85" customWidth="1"/>
    <col min="5" max="5" width="13.5703125" style="178" customWidth="1"/>
    <col min="6" max="6" width="13.5703125" style="180" customWidth="1"/>
    <col min="7" max="7" width="13.5703125" style="178" customWidth="1"/>
    <col min="8" max="8" width="13.5703125" style="180" customWidth="1"/>
    <col min="9" max="9" width="13.5703125" style="178" customWidth="1"/>
    <col min="10" max="10" width="13.5703125" style="180" customWidth="1"/>
    <col min="11" max="11" width="13.5703125" style="178" customWidth="1"/>
    <col min="12" max="12" width="13.5703125" style="180" customWidth="1"/>
    <col min="13" max="13" width="13.5703125" style="178" customWidth="1"/>
    <col min="14" max="14" width="13.5703125" style="180" customWidth="1"/>
    <col min="15" max="15" width="13.5703125" style="178" customWidth="1"/>
    <col min="16" max="16" width="13.5703125" style="180" customWidth="1"/>
    <col min="17" max="17" width="9.140625" style="80" customWidth="1"/>
    <col min="18" max="16384" width="9.140625" style="80" hidden="1"/>
  </cols>
  <sheetData>
    <row r="1" spans="1:16" s="15" customFormat="1" x14ac:dyDescent="0.25">
      <c r="A1" s="14" t="s">
        <v>9</v>
      </c>
      <c r="B1" s="18"/>
      <c r="C1" s="18"/>
      <c r="D1" s="19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</row>
    <row r="2" spans="1:16" s="15" customFormat="1" x14ac:dyDescent="0.25">
      <c r="A2" s="1" t="s">
        <v>101</v>
      </c>
      <c r="B2" s="4" t="s">
        <v>303</v>
      </c>
      <c r="C2" s="18"/>
      <c r="D2" s="19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</row>
    <row r="3" spans="1:16" s="15" customFormat="1" x14ac:dyDescent="0.25">
      <c r="A3" s="1" t="s">
        <v>102</v>
      </c>
      <c r="B3" s="154" t="str">
        <f>FAVPostCase&amp;".json"</f>
        <v>POST_test_ver_2.json</v>
      </c>
      <c r="C3" s="18"/>
      <c r="D3" s="19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</row>
    <row r="4" spans="1:16" s="15" customFormat="1" x14ac:dyDescent="0.25">
      <c r="A4" s="1" t="s">
        <v>103</v>
      </c>
      <c r="B4" s="154" t="str">
        <f>FAVPostCase&amp;".out"</f>
        <v>POST_test_ver_2.out</v>
      </c>
      <c r="C4" s="18"/>
      <c r="D4" s="19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</row>
    <row r="5" spans="1:16" s="15" customFormat="1" x14ac:dyDescent="0.25">
      <c r="A5" s="1"/>
      <c r="B5" s="18"/>
      <c r="C5" s="18"/>
      <c r="D5" s="19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</row>
    <row r="6" spans="1:16" s="15" customFormat="1" x14ac:dyDescent="0.25">
      <c r="A6" s="14" t="s">
        <v>53</v>
      </c>
      <c r="B6" s="18"/>
      <c r="C6" s="18"/>
      <c r="D6" s="19"/>
      <c r="E6" s="20" t="s">
        <v>105</v>
      </c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</row>
    <row r="7" spans="1:16" s="15" customFormat="1" x14ac:dyDescent="0.25">
      <c r="A7" s="1" t="s">
        <v>104</v>
      </c>
      <c r="B7" s="22">
        <v>6</v>
      </c>
      <c r="C7" s="18"/>
      <c r="D7" s="19"/>
      <c r="E7" s="20" t="s">
        <v>106</v>
      </c>
      <c r="F7" s="20">
        <f>B7</f>
        <v>6</v>
      </c>
      <c r="G7" s="20"/>
      <c r="H7" s="20"/>
      <c r="I7" s="20"/>
      <c r="J7" s="20"/>
      <c r="K7" s="20"/>
      <c r="L7" s="20"/>
      <c r="M7" s="20"/>
      <c r="N7" s="20"/>
      <c r="O7" s="20"/>
      <c r="P7" s="20"/>
    </row>
    <row r="8" spans="1:16" s="15" customFormat="1" x14ac:dyDescent="0.25">
      <c r="A8" s="1"/>
      <c r="B8" s="21"/>
      <c r="C8" s="18"/>
      <c r="D8" s="19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</row>
    <row r="9" spans="1:16" s="15" customFormat="1" ht="15.75" thickBot="1" x14ac:dyDescent="0.3">
      <c r="A9" s="1"/>
      <c r="B9" s="21"/>
      <c r="C9" s="18"/>
      <c r="D9" s="19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1:16" s="15" customFormat="1" ht="15.75" thickBot="1" x14ac:dyDescent="0.3">
      <c r="A10" s="1"/>
      <c r="B10" s="18"/>
      <c r="C10" s="18"/>
      <c r="D10" s="19"/>
      <c r="E10" s="62" t="str">
        <f>IF(LEFT(C10,7)="FAVPost","FAVPost Transient #"&amp;VALUE(RIGHT(C10,LEN(C10)-FIND("#",C10)))+1,"FAVPost Transient #1")</f>
        <v>FAVPost Transient #1</v>
      </c>
      <c r="F10" s="64"/>
      <c r="G10" s="62" t="str">
        <f>IF(LEFT(E10,7)="FAVPost","FAVPost Transient #"&amp;VALUE(RIGHT(E10,LEN(E10)-FIND("#",E10)))+1,"FAVPost Transient #1")</f>
        <v>FAVPost Transient #2</v>
      </c>
      <c r="H10" s="64"/>
      <c r="I10" s="62" t="str">
        <f>IF(LEFT(G10,7)="FAVPost","FAVPost Transient #"&amp;VALUE(RIGHT(G10,LEN(G10)-FIND("#",G10)))+1,"FAVPost Transient #1")</f>
        <v>FAVPost Transient #3</v>
      </c>
      <c r="J10" s="64"/>
      <c r="K10" s="62" t="str">
        <f>IF(LEFT(I10,7)="FAVPost","FAVPost Transient #"&amp;VALUE(RIGHT(I10,LEN(I10)-FIND("#",I10)))+1,"FAVPost Transient #1")</f>
        <v>FAVPost Transient #4</v>
      </c>
      <c r="L10" s="64"/>
      <c r="M10" s="62" t="str">
        <f>IF(LEFT(K10,7)="FAVPost","FAVPost Transient #"&amp;VALUE(RIGHT(K10,LEN(K10)-FIND("#",K10)))+1,"FAVPost Transient #1")</f>
        <v>FAVPost Transient #5</v>
      </c>
      <c r="N10" s="64"/>
      <c r="O10" s="62" t="str">
        <f>IF(LEFT(M10,7)="FAVPost","FAVPost Transient #"&amp;VALUE(RIGHT(M10,LEN(M10)-FIND("#",M10)))+1,"FAVPost Transient #1")</f>
        <v>FAVPost Transient #6</v>
      </c>
      <c r="P10" s="64"/>
    </row>
    <row r="11" spans="1:16" s="15" customFormat="1" ht="15.75" thickBot="1" x14ac:dyDescent="0.3">
      <c r="A11" s="14"/>
      <c r="B11" s="18"/>
      <c r="C11" s="18"/>
      <c r="D11" s="19"/>
      <c r="E11" s="73" t="s">
        <v>107</v>
      </c>
      <c r="F11" s="76">
        <f>INT(COUNT(E13:F1048576)/2)</f>
        <v>20</v>
      </c>
      <c r="G11" s="73" t="s">
        <v>107</v>
      </c>
      <c r="H11" s="76">
        <f>INT(COUNT(G13:H1048576)/2)</f>
        <v>20</v>
      </c>
      <c r="I11" s="73" t="s">
        <v>107</v>
      </c>
      <c r="J11" s="76">
        <f>INT(COUNT(I13:J1048576)/2)</f>
        <v>20</v>
      </c>
      <c r="K11" s="73" t="s">
        <v>107</v>
      </c>
      <c r="L11" s="76">
        <f>INT(COUNT(K13:L1048576)/2)</f>
        <v>20</v>
      </c>
      <c r="M11" s="73" t="s">
        <v>107</v>
      </c>
      <c r="N11" s="76">
        <f>INT(COUNT(M13:N1048576)/2)</f>
        <v>20</v>
      </c>
      <c r="O11" s="73" t="s">
        <v>107</v>
      </c>
      <c r="P11" s="76">
        <f>INT(COUNT(O13:P1048576)/2)</f>
        <v>20</v>
      </c>
    </row>
    <row r="12" spans="1:16" s="15" customFormat="1" ht="60.75" thickBot="1" x14ac:dyDescent="0.3">
      <c r="A12" s="85"/>
      <c r="B12" s="95" t="s">
        <v>20</v>
      </c>
      <c r="C12" s="96" t="s">
        <v>21</v>
      </c>
      <c r="E12" s="97" t="s">
        <v>261</v>
      </c>
      <c r="F12" s="98" t="s">
        <v>116</v>
      </c>
      <c r="G12" s="97" t="s">
        <v>261</v>
      </c>
      <c r="H12" s="98" t="s">
        <v>116</v>
      </c>
      <c r="I12" s="97" t="s">
        <v>261</v>
      </c>
      <c r="J12" s="98" t="s">
        <v>116</v>
      </c>
      <c r="K12" s="97" t="s">
        <v>261</v>
      </c>
      <c r="L12" s="98" t="s">
        <v>116</v>
      </c>
      <c r="M12" s="97" t="s">
        <v>261</v>
      </c>
      <c r="N12" s="98" t="s">
        <v>116</v>
      </c>
      <c r="O12" s="97" t="s">
        <v>261</v>
      </c>
      <c r="P12" s="98" t="s">
        <v>116</v>
      </c>
    </row>
    <row r="13" spans="1:16" x14ac:dyDescent="0.25">
      <c r="B13" s="99">
        <v>1</v>
      </c>
      <c r="C13" s="84">
        <v>16</v>
      </c>
      <c r="D13" s="15"/>
      <c r="E13" s="177">
        <v>1.79E-7</v>
      </c>
      <c r="F13" s="179">
        <v>0.5</v>
      </c>
      <c r="G13" s="177">
        <v>5.4399999999999996E-6</v>
      </c>
      <c r="H13" s="179">
        <v>0.5</v>
      </c>
      <c r="I13" s="177">
        <v>1E-8</v>
      </c>
      <c r="J13" s="179">
        <v>0.5</v>
      </c>
      <c r="K13" s="177">
        <v>5.0699999999999997E-6</v>
      </c>
      <c r="L13" s="179">
        <v>0.5</v>
      </c>
      <c r="M13" s="177">
        <v>1.2699999999999999E-6</v>
      </c>
      <c r="N13" s="179">
        <v>0.5</v>
      </c>
      <c r="O13" s="177">
        <v>1.79E-7</v>
      </c>
      <c r="P13" s="179">
        <v>0.5</v>
      </c>
    </row>
    <row r="14" spans="1:16" x14ac:dyDescent="0.25">
      <c r="B14" s="100">
        <v>2</v>
      </c>
      <c r="C14" s="101">
        <v>19</v>
      </c>
      <c r="E14" s="178">
        <v>2.0699999999999999E-7</v>
      </c>
      <c r="F14" s="180">
        <v>0.5</v>
      </c>
      <c r="G14" s="178">
        <v>6.4200000000000004E-6</v>
      </c>
      <c r="H14" s="180">
        <v>0.5</v>
      </c>
      <c r="I14" s="178">
        <v>1.2E-8</v>
      </c>
      <c r="J14" s="180">
        <v>0.5</v>
      </c>
      <c r="K14" s="178">
        <v>5.9599999999999997E-6</v>
      </c>
      <c r="L14" s="180">
        <v>0.5</v>
      </c>
      <c r="M14" s="178">
        <v>1.66E-6</v>
      </c>
      <c r="N14" s="180">
        <v>0.5</v>
      </c>
      <c r="O14" s="178">
        <v>2.1799999999999999E-7</v>
      </c>
      <c r="P14" s="180">
        <v>0.5</v>
      </c>
    </row>
    <row r="15" spans="1:16" x14ac:dyDescent="0.25">
      <c r="B15" s="100">
        <v>3</v>
      </c>
      <c r="C15" s="101">
        <v>24</v>
      </c>
      <c r="E15" s="178">
        <v>5.1200000000000003E-7</v>
      </c>
      <c r="F15" s="180">
        <v>1.5</v>
      </c>
      <c r="G15" s="178">
        <v>1.59E-5</v>
      </c>
      <c r="H15" s="180">
        <v>1.5</v>
      </c>
      <c r="I15" s="178">
        <v>1.9000000000000001E-8</v>
      </c>
      <c r="J15" s="180">
        <v>1.5</v>
      </c>
      <c r="K15" s="178">
        <v>6.8000000000000001E-6</v>
      </c>
      <c r="L15" s="180">
        <v>1.5</v>
      </c>
      <c r="M15" s="178">
        <v>2.1399999999999998E-6</v>
      </c>
      <c r="N15" s="180">
        <v>1.5</v>
      </c>
      <c r="O15" s="178">
        <v>2.7500000000000001E-7</v>
      </c>
      <c r="P15" s="180">
        <v>1.5</v>
      </c>
    </row>
    <row r="16" spans="1:16" x14ac:dyDescent="0.25">
      <c r="B16" s="100">
        <v>4</v>
      </c>
      <c r="C16" s="101">
        <v>34</v>
      </c>
      <c r="E16" s="178">
        <v>1.11E-6</v>
      </c>
      <c r="F16" s="180">
        <v>2.5</v>
      </c>
      <c r="G16" s="178">
        <v>3.0700000000000001E-5</v>
      </c>
      <c r="H16" s="180">
        <v>2.5</v>
      </c>
      <c r="I16" s="178">
        <v>2.9799999999999999E-8</v>
      </c>
      <c r="J16" s="180">
        <v>2.5</v>
      </c>
      <c r="K16" s="178">
        <v>7.7500000000000003E-6</v>
      </c>
      <c r="L16" s="180">
        <v>2.5</v>
      </c>
      <c r="M16" s="178">
        <v>3.05E-6</v>
      </c>
      <c r="N16" s="180">
        <v>2.5</v>
      </c>
      <c r="O16" s="178">
        <v>3.2500000000000001E-7</v>
      </c>
      <c r="P16" s="180">
        <v>2.5</v>
      </c>
    </row>
    <row r="17" spans="2:16" x14ac:dyDescent="0.25">
      <c r="B17" s="100">
        <v>5</v>
      </c>
      <c r="C17" s="101">
        <v>40</v>
      </c>
      <c r="E17" s="178">
        <v>2.3999999999999999E-6</v>
      </c>
      <c r="F17" s="180">
        <v>5</v>
      </c>
      <c r="G17" s="178">
        <v>5.5099999999999998E-5</v>
      </c>
      <c r="H17" s="180">
        <v>5</v>
      </c>
      <c r="I17" s="178">
        <v>4.58E-8</v>
      </c>
      <c r="J17" s="180">
        <v>5</v>
      </c>
      <c r="K17" s="178">
        <v>8.6100000000000006E-6</v>
      </c>
      <c r="L17" s="180">
        <v>5</v>
      </c>
      <c r="M17" s="178">
        <v>4.4499999999999997E-6</v>
      </c>
      <c r="N17" s="180">
        <v>5</v>
      </c>
      <c r="O17" s="178">
        <v>3.96E-7</v>
      </c>
      <c r="P17" s="180">
        <v>5</v>
      </c>
    </row>
    <row r="18" spans="2:16" x14ac:dyDescent="0.25">
      <c r="B18" s="100">
        <v>6</v>
      </c>
      <c r="C18" s="101">
        <v>48</v>
      </c>
      <c r="E18" s="177">
        <v>4.6399999999999996E-6</v>
      </c>
      <c r="F18" s="180">
        <v>10</v>
      </c>
      <c r="G18" s="177">
        <v>1.11E-4</v>
      </c>
      <c r="H18" s="180">
        <v>10</v>
      </c>
      <c r="I18" s="177">
        <v>1.91E-7</v>
      </c>
      <c r="J18" s="180">
        <v>10</v>
      </c>
      <c r="K18" s="177">
        <v>1.0200000000000001E-5</v>
      </c>
      <c r="L18" s="180">
        <v>10</v>
      </c>
      <c r="M18" s="177">
        <v>6.5100000000000004E-6</v>
      </c>
      <c r="N18" s="180">
        <v>10</v>
      </c>
      <c r="O18" s="177">
        <v>4.9299999999999998E-7</v>
      </c>
      <c r="P18" s="180">
        <v>10</v>
      </c>
    </row>
    <row r="19" spans="2:16" x14ac:dyDescent="0.25">
      <c r="E19" s="178">
        <v>6.63E-6</v>
      </c>
      <c r="F19" s="180">
        <v>5</v>
      </c>
      <c r="G19" s="178">
        <v>1.5799999999999999E-4</v>
      </c>
      <c r="H19" s="180">
        <v>5</v>
      </c>
      <c r="I19" s="178">
        <v>2.79E-7</v>
      </c>
      <c r="J19" s="180">
        <v>5</v>
      </c>
      <c r="K19" s="178">
        <v>1.0699999999999999E-5</v>
      </c>
      <c r="L19" s="180">
        <v>5</v>
      </c>
      <c r="M19" s="178">
        <v>8.0299999999999994E-6</v>
      </c>
      <c r="N19" s="180">
        <v>5</v>
      </c>
      <c r="O19" s="178">
        <v>5.3399999999999999E-7</v>
      </c>
      <c r="P19" s="180">
        <v>5</v>
      </c>
    </row>
    <row r="20" spans="2:16" x14ac:dyDescent="0.25">
      <c r="E20" s="178">
        <v>9.38E-6</v>
      </c>
      <c r="F20" s="180">
        <v>5</v>
      </c>
      <c r="G20" s="178">
        <v>1.9599999999999999E-4</v>
      </c>
      <c r="H20" s="180">
        <v>5</v>
      </c>
      <c r="I20" s="178">
        <v>3.2800000000000003E-7</v>
      </c>
      <c r="J20" s="180">
        <v>5</v>
      </c>
      <c r="K20" s="178">
        <v>1.13E-5</v>
      </c>
      <c r="L20" s="180">
        <v>5</v>
      </c>
      <c r="M20" s="178">
        <v>9.3400000000000004E-6</v>
      </c>
      <c r="N20" s="180">
        <v>5</v>
      </c>
      <c r="O20" s="178">
        <v>5.7299999999999996E-7</v>
      </c>
      <c r="P20" s="180">
        <v>5</v>
      </c>
    </row>
    <row r="21" spans="2:16" x14ac:dyDescent="0.25">
      <c r="E21" s="178">
        <v>1.5699999999999999E-5</v>
      </c>
      <c r="F21" s="180">
        <v>10</v>
      </c>
      <c r="G21" s="178">
        <v>2.9300000000000002E-4</v>
      </c>
      <c r="H21" s="180">
        <v>10</v>
      </c>
      <c r="I21" s="178">
        <v>4.2800000000000002E-7</v>
      </c>
      <c r="J21" s="180">
        <v>10</v>
      </c>
      <c r="K21" s="178">
        <v>1.24E-5</v>
      </c>
      <c r="L21" s="180">
        <v>10</v>
      </c>
      <c r="M21" s="178">
        <v>1.24E-5</v>
      </c>
      <c r="N21" s="180">
        <v>10</v>
      </c>
      <c r="O21" s="178">
        <v>6.4700000000000001E-7</v>
      </c>
      <c r="P21" s="180">
        <v>10</v>
      </c>
    </row>
    <row r="22" spans="2:16" x14ac:dyDescent="0.25">
      <c r="E22" s="178">
        <v>2.4899999999999999E-5</v>
      </c>
      <c r="F22" s="180">
        <v>10</v>
      </c>
      <c r="G22" s="178">
        <v>4.9700000000000005E-4</v>
      </c>
      <c r="H22" s="180">
        <v>10</v>
      </c>
      <c r="I22" s="178">
        <v>5.9100000000000004E-7</v>
      </c>
      <c r="J22" s="180">
        <v>10</v>
      </c>
      <c r="K22" s="178">
        <v>1.36E-5</v>
      </c>
      <c r="L22" s="180">
        <v>10</v>
      </c>
      <c r="M22" s="178">
        <v>1.59E-5</v>
      </c>
      <c r="N22" s="180">
        <v>10</v>
      </c>
      <c r="O22" s="178">
        <v>7.23E-7</v>
      </c>
      <c r="P22" s="180">
        <v>10</v>
      </c>
    </row>
    <row r="23" spans="2:16" x14ac:dyDescent="0.25">
      <c r="E23" s="178">
        <v>4.07E-5</v>
      </c>
      <c r="F23" s="180">
        <v>10</v>
      </c>
      <c r="G23" s="178">
        <v>7.8600000000000002E-4</v>
      </c>
      <c r="H23" s="180">
        <v>10</v>
      </c>
      <c r="I23" s="178">
        <v>1.0300000000000001E-6</v>
      </c>
      <c r="J23" s="180">
        <v>10</v>
      </c>
      <c r="K23" s="178">
        <v>1.5E-5</v>
      </c>
      <c r="L23" s="180">
        <v>10</v>
      </c>
      <c r="M23" s="178">
        <v>2.09E-5</v>
      </c>
      <c r="N23" s="180">
        <v>10</v>
      </c>
      <c r="O23" s="178">
        <v>8.0500000000000002E-7</v>
      </c>
      <c r="P23" s="180">
        <v>10</v>
      </c>
    </row>
    <row r="24" spans="2:16" x14ac:dyDescent="0.25">
      <c r="E24" s="178">
        <v>6.5699999999999998E-5</v>
      </c>
      <c r="F24" s="180">
        <v>10</v>
      </c>
      <c r="G24" s="178">
        <v>1.33E-3</v>
      </c>
      <c r="H24" s="180">
        <v>10</v>
      </c>
      <c r="I24" s="178">
        <v>1.46E-6</v>
      </c>
      <c r="J24" s="180">
        <v>10</v>
      </c>
      <c r="K24" s="178">
        <v>1.6399999999999999E-5</v>
      </c>
      <c r="L24" s="180">
        <v>10</v>
      </c>
      <c r="M24" s="178">
        <v>2.8099999999999999E-5</v>
      </c>
      <c r="N24" s="180">
        <v>10</v>
      </c>
      <c r="O24" s="178">
        <v>8.9800000000000002E-7</v>
      </c>
      <c r="P24" s="180">
        <v>10</v>
      </c>
    </row>
    <row r="25" spans="2:16" x14ac:dyDescent="0.25">
      <c r="E25" s="178">
        <v>9.1399999999999999E-5</v>
      </c>
      <c r="F25" s="180">
        <v>5</v>
      </c>
      <c r="G25" s="178">
        <v>1.7899999999999999E-3</v>
      </c>
      <c r="H25" s="180">
        <v>5</v>
      </c>
      <c r="I25" s="178">
        <v>1.86E-6</v>
      </c>
      <c r="J25" s="180">
        <v>5</v>
      </c>
      <c r="K25" s="178">
        <v>1.77E-5</v>
      </c>
      <c r="L25" s="180">
        <v>5</v>
      </c>
      <c r="M25" s="178">
        <v>3.3099999999999998E-5</v>
      </c>
      <c r="N25" s="180">
        <v>5</v>
      </c>
      <c r="O25" s="178">
        <v>9.540000000000001E-7</v>
      </c>
      <c r="P25" s="180">
        <v>5</v>
      </c>
    </row>
    <row r="26" spans="2:16" x14ac:dyDescent="0.25">
      <c r="E26" s="178">
        <v>1.2E-4</v>
      </c>
      <c r="F26" s="180">
        <v>5</v>
      </c>
      <c r="G26" s="178">
        <v>2.3700000000000001E-3</v>
      </c>
      <c r="H26" s="180">
        <v>5</v>
      </c>
      <c r="I26" s="178">
        <v>2.65E-6</v>
      </c>
      <c r="J26" s="180">
        <v>5</v>
      </c>
      <c r="K26" s="178">
        <v>1.8700000000000001E-5</v>
      </c>
      <c r="L26" s="180">
        <v>5</v>
      </c>
      <c r="M26" s="178">
        <v>4.1100000000000003E-5</v>
      </c>
      <c r="N26" s="180">
        <v>5</v>
      </c>
      <c r="O26" s="178">
        <v>1.02E-6</v>
      </c>
      <c r="P26" s="180">
        <v>5</v>
      </c>
    </row>
    <row r="27" spans="2:16" x14ac:dyDescent="0.25">
      <c r="E27" s="178">
        <v>2.6899999999999998E-4</v>
      </c>
      <c r="F27" s="180">
        <v>10</v>
      </c>
      <c r="G27" s="178">
        <v>5.4799999999999996E-3</v>
      </c>
      <c r="H27" s="180">
        <v>10</v>
      </c>
      <c r="I27" s="178">
        <v>5.5999999999999997E-6</v>
      </c>
      <c r="J27" s="180">
        <v>10</v>
      </c>
      <c r="K27" s="178">
        <v>2.2200000000000001E-5</v>
      </c>
      <c r="L27" s="180">
        <v>10</v>
      </c>
      <c r="M27" s="178">
        <v>6.8899999999999994E-5</v>
      </c>
      <c r="N27" s="180">
        <v>10</v>
      </c>
      <c r="O27" s="178">
        <v>1.1999999999999999E-6</v>
      </c>
      <c r="P27" s="180">
        <v>10</v>
      </c>
    </row>
    <row r="28" spans="2:16" x14ac:dyDescent="0.25">
      <c r="E28" s="178">
        <v>5.4199999999999995E-4</v>
      </c>
      <c r="F28" s="180">
        <v>5</v>
      </c>
      <c r="G28" s="178">
        <v>9.5899999999999996E-3</v>
      </c>
      <c r="H28" s="180">
        <v>5</v>
      </c>
      <c r="I28" s="178">
        <v>1.43E-5</v>
      </c>
      <c r="J28" s="180">
        <v>5</v>
      </c>
      <c r="K28" s="178">
        <v>2.4499999999999999E-5</v>
      </c>
      <c r="L28" s="180">
        <v>5</v>
      </c>
      <c r="M28" s="178">
        <v>1.0900000000000001E-4</v>
      </c>
      <c r="N28" s="180">
        <v>5</v>
      </c>
      <c r="O28" s="178">
        <v>1.3599999999999999E-6</v>
      </c>
      <c r="P28" s="180">
        <v>5</v>
      </c>
    </row>
    <row r="29" spans="2:16" x14ac:dyDescent="0.25">
      <c r="E29" s="178">
        <v>9.1399999999999999E-4</v>
      </c>
      <c r="F29" s="180">
        <v>2.5</v>
      </c>
      <c r="G29" s="178">
        <v>1.6799999999999999E-2</v>
      </c>
      <c r="H29" s="180">
        <v>2.5</v>
      </c>
      <c r="I29" s="178">
        <v>1.9199999999999999E-5</v>
      </c>
      <c r="J29" s="180">
        <v>2.5</v>
      </c>
      <c r="K29" s="178">
        <v>2.9099999999999999E-5</v>
      </c>
      <c r="L29" s="180">
        <v>2.5</v>
      </c>
      <c r="M29" s="178">
        <v>1.74E-4</v>
      </c>
      <c r="N29" s="180">
        <v>2.5</v>
      </c>
      <c r="O29" s="178">
        <v>1.5200000000000001E-6</v>
      </c>
      <c r="P29" s="180">
        <v>2.5</v>
      </c>
    </row>
    <row r="30" spans="2:16" x14ac:dyDescent="0.25">
      <c r="E30" s="178">
        <v>1.66E-3</v>
      </c>
      <c r="F30" s="180">
        <v>1.5</v>
      </c>
      <c r="G30" s="178">
        <v>2.5700000000000001E-2</v>
      </c>
      <c r="H30" s="180">
        <v>1.5</v>
      </c>
      <c r="I30" s="178">
        <v>2.5400000000000001E-5</v>
      </c>
      <c r="J30" s="180">
        <v>1.5</v>
      </c>
      <c r="K30" s="178">
        <v>3.4400000000000003E-5</v>
      </c>
      <c r="L30" s="180">
        <v>1.5</v>
      </c>
      <c r="M30" s="178">
        <v>2.8200000000000002E-4</v>
      </c>
      <c r="N30" s="180">
        <v>1.5</v>
      </c>
      <c r="O30" s="178">
        <v>1.7099999999999999E-6</v>
      </c>
      <c r="P30" s="180">
        <v>1.5</v>
      </c>
    </row>
    <row r="31" spans="2:16" x14ac:dyDescent="0.25">
      <c r="E31" s="178">
        <v>2.6800000000000001E-3</v>
      </c>
      <c r="F31" s="180">
        <v>0.5</v>
      </c>
      <c r="G31" s="178">
        <v>4.6600000000000003E-2</v>
      </c>
      <c r="H31" s="180">
        <v>0.5</v>
      </c>
      <c r="I31" s="178">
        <v>2.7699999999999999E-5</v>
      </c>
      <c r="J31" s="180">
        <v>0.5</v>
      </c>
      <c r="K31" s="178">
        <v>3.9400000000000002E-5</v>
      </c>
      <c r="L31" s="180">
        <v>0.5</v>
      </c>
      <c r="M31" s="178">
        <v>3.8999999999999999E-4</v>
      </c>
      <c r="N31" s="180">
        <v>0.5</v>
      </c>
      <c r="O31" s="178">
        <v>1.8899999999999999E-6</v>
      </c>
      <c r="P31" s="180">
        <v>0.5</v>
      </c>
    </row>
    <row r="32" spans="2:16" x14ac:dyDescent="0.25">
      <c r="E32" s="178">
        <v>5.4299999999999999E-3</v>
      </c>
      <c r="F32" s="180">
        <v>0.5</v>
      </c>
      <c r="G32" s="178">
        <v>0.11600000000000001</v>
      </c>
      <c r="H32" s="180">
        <v>0.5</v>
      </c>
      <c r="I32" s="178">
        <v>4.1999999999999998E-5</v>
      </c>
      <c r="J32" s="180">
        <v>0.5</v>
      </c>
      <c r="K32" s="178">
        <v>7.2700000000000005E-5</v>
      </c>
      <c r="L32" s="180">
        <v>0.5</v>
      </c>
      <c r="M32" s="178">
        <v>8.9999999999999998E-4</v>
      </c>
      <c r="N32" s="180">
        <v>0.5</v>
      </c>
      <c r="O32" s="178">
        <v>2.1900000000000002E-6</v>
      </c>
      <c r="P32" s="180">
        <v>0.5</v>
      </c>
    </row>
  </sheetData>
  <sheetProtection sheet="1" objects="1" scenarios="1"/>
  <dataValidations count="1">
    <dataValidation type="whole" operator="greaterThanOrEqual" allowBlank="1" showInputMessage="1" showErrorMessage="1" sqref="B7" xr:uid="{00000000-0002-0000-0800-000000000000}">
      <formula1>1</formula1>
    </dataValidation>
  </dataValidation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AVPost_Input">
    <tabColor rgb="FF00B0F0"/>
  </sheetPr>
  <dimension ref="A1:A124"/>
  <sheetViews>
    <sheetView workbookViewId="0">
      <pane ySplit="7" topLeftCell="A8" activePane="bottomLeft" state="frozen"/>
      <selection activeCell="B10" sqref="B10"/>
      <selection pane="bottomLeft"/>
    </sheetView>
  </sheetViews>
  <sheetFormatPr defaultRowHeight="15" x14ac:dyDescent="0.25"/>
  <cols>
    <col min="1" max="1" width="110.7109375" style="205" customWidth="1"/>
  </cols>
  <sheetData>
    <row r="1" spans="1:1" x14ac:dyDescent="0.25">
      <c r="A1" s="205" t="s">
        <v>206</v>
      </c>
    </row>
    <row r="2" spans="1:1" x14ac:dyDescent="0.25">
      <c r="A2" s="205" t="s">
        <v>305</v>
      </c>
    </row>
    <row r="3" spans="1:1" x14ac:dyDescent="0.25">
      <c r="A3" s="205" t="s">
        <v>259</v>
      </c>
    </row>
    <row r="4" spans="1:1" x14ac:dyDescent="0.25">
      <c r="A4" s="205" t="s">
        <v>306</v>
      </c>
    </row>
    <row r="5" spans="1:1" x14ac:dyDescent="0.25">
      <c r="A5" s="205" t="s">
        <v>312</v>
      </c>
    </row>
    <row r="6" spans="1:1" x14ac:dyDescent="0.25">
      <c r="A6" s="205" t="s">
        <v>262</v>
      </c>
    </row>
    <row r="7" spans="1:1" x14ac:dyDescent="0.25">
      <c r="A7" s="205" t="s">
        <v>263</v>
      </c>
    </row>
    <row r="8" spans="1:1" x14ac:dyDescent="0.25">
      <c r="A8" s="205" t="s">
        <v>278</v>
      </c>
    </row>
    <row r="9" spans="1:1" x14ac:dyDescent="0.25">
      <c r="A9" s="205" t="s">
        <v>279</v>
      </c>
    </row>
    <row r="10" spans="1:1" x14ac:dyDescent="0.25">
      <c r="A10" s="205" t="s">
        <v>280</v>
      </c>
    </row>
    <row r="11" spans="1:1" x14ac:dyDescent="0.25">
      <c r="A11" s="205" t="s">
        <v>281</v>
      </c>
    </row>
    <row r="12" spans="1:1" x14ac:dyDescent="0.25">
      <c r="A12" s="205" t="s">
        <v>234</v>
      </c>
    </row>
    <row r="13" spans="1:1" x14ac:dyDescent="0.25">
      <c r="A13" s="205" t="s">
        <v>264</v>
      </c>
    </row>
    <row r="14" spans="1:1" x14ac:dyDescent="0.25">
      <c r="A14" s="205" t="s">
        <v>274</v>
      </c>
    </row>
    <row r="15" spans="1:1" x14ac:dyDescent="0.25">
      <c r="A15" s="205" t="s">
        <v>275</v>
      </c>
    </row>
    <row r="16" spans="1:1" x14ac:dyDescent="0.25">
      <c r="A16" s="205" t="s">
        <v>276</v>
      </c>
    </row>
    <row r="17" spans="1:1" x14ac:dyDescent="0.25">
      <c r="A17" s="205" t="s">
        <v>277</v>
      </c>
    </row>
    <row r="18" spans="1:1" x14ac:dyDescent="0.25">
      <c r="A18" s="205" t="s">
        <v>234</v>
      </c>
    </row>
    <row r="19" spans="1:1" x14ac:dyDescent="0.25">
      <c r="A19" s="205" t="s">
        <v>265</v>
      </c>
    </row>
    <row r="20" spans="1:1" x14ac:dyDescent="0.25">
      <c r="A20" s="205" t="s">
        <v>266</v>
      </c>
    </row>
    <row r="21" spans="1:1" x14ac:dyDescent="0.25">
      <c r="A21" s="205" t="s">
        <v>247</v>
      </c>
    </row>
    <row r="22" spans="1:1" x14ac:dyDescent="0.25">
      <c r="A22" s="205" t="s">
        <v>209</v>
      </c>
    </row>
    <row r="23" spans="1:1" x14ac:dyDescent="0.25">
      <c r="A23" s="205" t="s">
        <v>259</v>
      </c>
    </row>
    <row r="24" spans="1:1" x14ac:dyDescent="0.25">
      <c r="A24" s="205" t="s">
        <v>307</v>
      </c>
    </row>
    <row r="25" spans="1:1" x14ac:dyDescent="0.25">
      <c r="A25" s="205" t="s">
        <v>313</v>
      </c>
    </row>
    <row r="26" spans="1:1" x14ac:dyDescent="0.25">
      <c r="A26" s="205" t="s">
        <v>262</v>
      </c>
    </row>
    <row r="27" spans="1:1" x14ac:dyDescent="0.25">
      <c r="A27" s="205" t="s">
        <v>263</v>
      </c>
    </row>
    <row r="28" spans="1:1" x14ac:dyDescent="0.25">
      <c r="A28" s="205" t="s">
        <v>282</v>
      </c>
    </row>
    <row r="29" spans="1:1" x14ac:dyDescent="0.25">
      <c r="A29" s="205" t="s">
        <v>283</v>
      </c>
    </row>
    <row r="30" spans="1:1" x14ac:dyDescent="0.25">
      <c r="A30" s="205" t="s">
        <v>284</v>
      </c>
    </row>
    <row r="31" spans="1:1" x14ac:dyDescent="0.25">
      <c r="A31" s="205" t="s">
        <v>285</v>
      </c>
    </row>
    <row r="32" spans="1:1" x14ac:dyDescent="0.25">
      <c r="A32" s="205" t="s">
        <v>234</v>
      </c>
    </row>
    <row r="33" spans="1:1" x14ac:dyDescent="0.25">
      <c r="A33" s="205" t="s">
        <v>264</v>
      </c>
    </row>
    <row r="34" spans="1:1" x14ac:dyDescent="0.25">
      <c r="A34" s="205" t="s">
        <v>274</v>
      </c>
    </row>
    <row r="35" spans="1:1" x14ac:dyDescent="0.25">
      <c r="A35" s="205" t="s">
        <v>275</v>
      </c>
    </row>
    <row r="36" spans="1:1" x14ac:dyDescent="0.25">
      <c r="A36" s="205" t="s">
        <v>276</v>
      </c>
    </row>
    <row r="37" spans="1:1" x14ac:dyDescent="0.25">
      <c r="A37" s="205" t="s">
        <v>277</v>
      </c>
    </row>
    <row r="38" spans="1:1" x14ac:dyDescent="0.25">
      <c r="A38" s="205" t="s">
        <v>234</v>
      </c>
    </row>
    <row r="39" spans="1:1" x14ac:dyDescent="0.25">
      <c r="A39" s="205" t="s">
        <v>265</v>
      </c>
    </row>
    <row r="40" spans="1:1" x14ac:dyDescent="0.25">
      <c r="A40" s="205" t="s">
        <v>266</v>
      </c>
    </row>
    <row r="41" spans="1:1" x14ac:dyDescent="0.25">
      <c r="A41" s="205" t="s">
        <v>247</v>
      </c>
    </row>
    <row r="42" spans="1:1" x14ac:dyDescent="0.25">
      <c r="A42" s="205" t="s">
        <v>209</v>
      </c>
    </row>
    <row r="43" spans="1:1" x14ac:dyDescent="0.25">
      <c r="A43" s="205" t="s">
        <v>259</v>
      </c>
    </row>
    <row r="44" spans="1:1" x14ac:dyDescent="0.25">
      <c r="A44" s="205" t="s">
        <v>308</v>
      </c>
    </row>
    <row r="45" spans="1:1" x14ac:dyDescent="0.25">
      <c r="A45" s="205" t="s">
        <v>314</v>
      </c>
    </row>
    <row r="46" spans="1:1" x14ac:dyDescent="0.25">
      <c r="A46" s="205" t="s">
        <v>262</v>
      </c>
    </row>
    <row r="47" spans="1:1" x14ac:dyDescent="0.25">
      <c r="A47" s="205" t="s">
        <v>263</v>
      </c>
    </row>
    <row r="48" spans="1:1" x14ac:dyDescent="0.25">
      <c r="A48" s="205" t="s">
        <v>286</v>
      </c>
    </row>
    <row r="49" spans="1:1" x14ac:dyDescent="0.25">
      <c r="A49" s="205" t="s">
        <v>287</v>
      </c>
    </row>
    <row r="50" spans="1:1" x14ac:dyDescent="0.25">
      <c r="A50" s="205" t="s">
        <v>288</v>
      </c>
    </row>
    <row r="51" spans="1:1" x14ac:dyDescent="0.25">
      <c r="A51" s="205" t="s">
        <v>289</v>
      </c>
    </row>
    <row r="52" spans="1:1" x14ac:dyDescent="0.25">
      <c r="A52" s="205" t="s">
        <v>234</v>
      </c>
    </row>
    <row r="53" spans="1:1" x14ac:dyDescent="0.25">
      <c r="A53" s="205" t="s">
        <v>264</v>
      </c>
    </row>
    <row r="54" spans="1:1" x14ac:dyDescent="0.25">
      <c r="A54" s="205" t="s">
        <v>267</v>
      </c>
    </row>
    <row r="55" spans="1:1" x14ac:dyDescent="0.25">
      <c r="A55" s="205" t="s">
        <v>267</v>
      </c>
    </row>
    <row r="56" spans="1:1" x14ac:dyDescent="0.25">
      <c r="A56" s="205" t="s">
        <v>267</v>
      </c>
    </row>
    <row r="57" spans="1:1" x14ac:dyDescent="0.25">
      <c r="A57" s="205" t="s">
        <v>290</v>
      </c>
    </row>
    <row r="58" spans="1:1" x14ac:dyDescent="0.25">
      <c r="A58" s="205" t="s">
        <v>234</v>
      </c>
    </row>
    <row r="59" spans="1:1" x14ac:dyDescent="0.25">
      <c r="A59" s="205" t="s">
        <v>265</v>
      </c>
    </row>
    <row r="60" spans="1:1" x14ac:dyDescent="0.25">
      <c r="A60" s="205" t="s">
        <v>266</v>
      </c>
    </row>
    <row r="61" spans="1:1" x14ac:dyDescent="0.25">
      <c r="A61" s="205" t="s">
        <v>247</v>
      </c>
    </row>
    <row r="62" spans="1:1" x14ac:dyDescent="0.25">
      <c r="A62" s="205" t="s">
        <v>209</v>
      </c>
    </row>
    <row r="63" spans="1:1" x14ac:dyDescent="0.25">
      <c r="A63" s="205" t="s">
        <v>259</v>
      </c>
    </row>
    <row r="64" spans="1:1" x14ac:dyDescent="0.25">
      <c r="A64" s="205" t="s">
        <v>309</v>
      </c>
    </row>
    <row r="65" spans="1:1" x14ac:dyDescent="0.25">
      <c r="A65" s="205" t="s">
        <v>315</v>
      </c>
    </row>
    <row r="66" spans="1:1" x14ac:dyDescent="0.25">
      <c r="A66" s="205" t="s">
        <v>262</v>
      </c>
    </row>
    <row r="67" spans="1:1" x14ac:dyDescent="0.25">
      <c r="A67" s="205" t="s">
        <v>263</v>
      </c>
    </row>
    <row r="68" spans="1:1" x14ac:dyDescent="0.25">
      <c r="A68" s="205" t="s">
        <v>291</v>
      </c>
    </row>
    <row r="69" spans="1:1" x14ac:dyDescent="0.25">
      <c r="A69" s="205" t="s">
        <v>292</v>
      </c>
    </row>
    <row r="70" spans="1:1" x14ac:dyDescent="0.25">
      <c r="A70" s="205" t="s">
        <v>293</v>
      </c>
    </row>
    <row r="71" spans="1:1" x14ac:dyDescent="0.25">
      <c r="A71" s="205" t="s">
        <v>294</v>
      </c>
    </row>
    <row r="72" spans="1:1" x14ac:dyDescent="0.25">
      <c r="A72" s="205" t="s">
        <v>234</v>
      </c>
    </row>
    <row r="73" spans="1:1" x14ac:dyDescent="0.25">
      <c r="A73" s="205" t="s">
        <v>264</v>
      </c>
    </row>
    <row r="74" spans="1:1" x14ac:dyDescent="0.25">
      <c r="A74" s="205" t="s">
        <v>267</v>
      </c>
    </row>
    <row r="75" spans="1:1" x14ac:dyDescent="0.25">
      <c r="A75" s="205" t="s">
        <v>267</v>
      </c>
    </row>
    <row r="76" spans="1:1" x14ac:dyDescent="0.25">
      <c r="A76" s="205" t="s">
        <v>267</v>
      </c>
    </row>
    <row r="77" spans="1:1" x14ac:dyDescent="0.25">
      <c r="A77" s="205" t="s">
        <v>290</v>
      </c>
    </row>
    <row r="78" spans="1:1" x14ac:dyDescent="0.25">
      <c r="A78" s="205" t="s">
        <v>234</v>
      </c>
    </row>
    <row r="79" spans="1:1" x14ac:dyDescent="0.25">
      <c r="A79" s="205" t="s">
        <v>265</v>
      </c>
    </row>
    <row r="80" spans="1:1" x14ac:dyDescent="0.25">
      <c r="A80" s="205" t="s">
        <v>266</v>
      </c>
    </row>
    <row r="81" spans="1:1" x14ac:dyDescent="0.25">
      <c r="A81" s="205" t="s">
        <v>247</v>
      </c>
    </row>
    <row r="82" spans="1:1" x14ac:dyDescent="0.25">
      <c r="A82" s="205" t="s">
        <v>209</v>
      </c>
    </row>
    <row r="83" spans="1:1" x14ac:dyDescent="0.25">
      <c r="A83" s="205" t="s">
        <v>259</v>
      </c>
    </row>
    <row r="84" spans="1:1" x14ac:dyDescent="0.25">
      <c r="A84" s="205" t="s">
        <v>310</v>
      </c>
    </row>
    <row r="85" spans="1:1" x14ac:dyDescent="0.25">
      <c r="A85" s="205" t="s">
        <v>316</v>
      </c>
    </row>
    <row r="86" spans="1:1" x14ac:dyDescent="0.25">
      <c r="A86" s="205" t="s">
        <v>262</v>
      </c>
    </row>
    <row r="87" spans="1:1" x14ac:dyDescent="0.25">
      <c r="A87" s="205" t="s">
        <v>263</v>
      </c>
    </row>
    <row r="88" spans="1:1" x14ac:dyDescent="0.25">
      <c r="A88" s="205" t="s">
        <v>295</v>
      </c>
    </row>
    <row r="89" spans="1:1" x14ac:dyDescent="0.25">
      <c r="A89" s="205" t="s">
        <v>296</v>
      </c>
    </row>
    <row r="90" spans="1:1" x14ac:dyDescent="0.25">
      <c r="A90" s="205" t="s">
        <v>297</v>
      </c>
    </row>
    <row r="91" spans="1:1" x14ac:dyDescent="0.25">
      <c r="A91" s="205" t="s">
        <v>298</v>
      </c>
    </row>
    <row r="92" spans="1:1" x14ac:dyDescent="0.25">
      <c r="A92" s="205" t="s">
        <v>234</v>
      </c>
    </row>
    <row r="93" spans="1:1" x14ac:dyDescent="0.25">
      <c r="A93" s="205" t="s">
        <v>264</v>
      </c>
    </row>
    <row r="94" spans="1:1" x14ac:dyDescent="0.25">
      <c r="A94" s="205" t="s">
        <v>267</v>
      </c>
    </row>
    <row r="95" spans="1:1" x14ac:dyDescent="0.25">
      <c r="A95" s="205" t="s">
        <v>267</v>
      </c>
    </row>
    <row r="96" spans="1:1" x14ac:dyDescent="0.25">
      <c r="A96" s="205" t="s">
        <v>267</v>
      </c>
    </row>
    <row r="97" spans="1:1" x14ac:dyDescent="0.25">
      <c r="A97" s="205" t="s">
        <v>290</v>
      </c>
    </row>
    <row r="98" spans="1:1" x14ac:dyDescent="0.25">
      <c r="A98" s="205" t="s">
        <v>234</v>
      </c>
    </row>
    <row r="99" spans="1:1" x14ac:dyDescent="0.25">
      <c r="A99" s="205" t="s">
        <v>265</v>
      </c>
    </row>
    <row r="100" spans="1:1" x14ac:dyDescent="0.25">
      <c r="A100" s="205" t="s">
        <v>266</v>
      </c>
    </row>
    <row r="101" spans="1:1" x14ac:dyDescent="0.25">
      <c r="A101" s="205" t="s">
        <v>247</v>
      </c>
    </row>
    <row r="102" spans="1:1" x14ac:dyDescent="0.25">
      <c r="A102" s="205" t="s">
        <v>209</v>
      </c>
    </row>
    <row r="103" spans="1:1" x14ac:dyDescent="0.25">
      <c r="A103" s="205" t="s">
        <v>259</v>
      </c>
    </row>
    <row r="104" spans="1:1" x14ac:dyDescent="0.25">
      <c r="A104" s="205" t="s">
        <v>311</v>
      </c>
    </row>
    <row r="105" spans="1:1" x14ac:dyDescent="0.25">
      <c r="A105" s="205" t="s">
        <v>317</v>
      </c>
    </row>
    <row r="106" spans="1:1" x14ac:dyDescent="0.25">
      <c r="A106" s="205" t="s">
        <v>262</v>
      </c>
    </row>
    <row r="107" spans="1:1" x14ac:dyDescent="0.25">
      <c r="A107" s="205" t="s">
        <v>263</v>
      </c>
    </row>
    <row r="108" spans="1:1" x14ac:dyDescent="0.25">
      <c r="A108" s="205" t="s">
        <v>300</v>
      </c>
    </row>
    <row r="109" spans="1:1" x14ac:dyDescent="0.25">
      <c r="A109" s="205" t="s">
        <v>301</v>
      </c>
    </row>
    <row r="110" spans="1:1" x14ac:dyDescent="0.25">
      <c r="A110" s="205" t="s">
        <v>299</v>
      </c>
    </row>
    <row r="111" spans="1:1" x14ac:dyDescent="0.25">
      <c r="A111" s="205" t="s">
        <v>302</v>
      </c>
    </row>
    <row r="112" spans="1:1" x14ac:dyDescent="0.25">
      <c r="A112" s="205" t="s">
        <v>234</v>
      </c>
    </row>
    <row r="113" spans="1:1" x14ac:dyDescent="0.25">
      <c r="A113" s="205" t="s">
        <v>264</v>
      </c>
    </row>
    <row r="114" spans="1:1" x14ac:dyDescent="0.25">
      <c r="A114" s="205" t="s">
        <v>267</v>
      </c>
    </row>
    <row r="115" spans="1:1" x14ac:dyDescent="0.25">
      <c r="A115" s="205" t="s">
        <v>267</v>
      </c>
    </row>
    <row r="116" spans="1:1" x14ac:dyDescent="0.25">
      <c r="A116" s="205" t="s">
        <v>267</v>
      </c>
    </row>
    <row r="117" spans="1:1" x14ac:dyDescent="0.25">
      <c r="A117" s="205" t="s">
        <v>290</v>
      </c>
    </row>
    <row r="118" spans="1:1" x14ac:dyDescent="0.25">
      <c r="A118" s="205" t="s">
        <v>234</v>
      </c>
    </row>
    <row r="119" spans="1:1" x14ac:dyDescent="0.25">
      <c r="A119" s="205" t="s">
        <v>265</v>
      </c>
    </row>
    <row r="120" spans="1:1" x14ac:dyDescent="0.25">
      <c r="A120" s="205" t="s">
        <v>266</v>
      </c>
    </row>
    <row r="121" spans="1:1" x14ac:dyDescent="0.25">
      <c r="A121" s="205" t="s">
        <v>247</v>
      </c>
    </row>
    <row r="122" spans="1:1" x14ac:dyDescent="0.25">
      <c r="A122" s="205" t="s">
        <v>237</v>
      </c>
    </row>
    <row r="123" spans="1:1" x14ac:dyDescent="0.25">
      <c r="A123" s="205" t="s">
        <v>260</v>
      </c>
    </row>
    <row r="124" spans="1:1" x14ac:dyDescent="0.25">
      <c r="A124" s="205" t="s">
        <v>258</v>
      </c>
    </row>
  </sheetData>
  <sheetProtection sheet="1" objects="1" scenarios="1"/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VFLAW_Surface">
    <tabColor theme="7" tint="0.39997558519241921"/>
  </sheetPr>
  <dimension ref="A1:XFC125"/>
  <sheetViews>
    <sheetView workbookViewId="0"/>
  </sheetViews>
  <sheetFormatPr defaultColWidth="0" defaultRowHeight="15" zeroHeight="1" x14ac:dyDescent="0.25"/>
  <cols>
    <col min="1" max="1" width="36.85546875" style="123" customWidth="1"/>
    <col min="2" max="6" width="27.140625" style="113" customWidth="1"/>
    <col min="7" max="7" width="20.42578125" style="58" bestFit="1" customWidth="1"/>
    <col min="8" max="16383" width="9.140625" style="58" hidden="1"/>
    <col min="16384" max="16384" width="4.28515625" style="58" hidden="1" customWidth="1"/>
  </cols>
  <sheetData>
    <row r="1" spans="1:10" s="15" customFormat="1" x14ac:dyDescent="0.25">
      <c r="A1" s="14" t="s">
        <v>9</v>
      </c>
      <c r="B1" s="18"/>
      <c r="C1" s="18"/>
      <c r="D1" s="19" t="s">
        <v>128</v>
      </c>
      <c r="E1" s="20"/>
      <c r="F1" s="20"/>
      <c r="G1" s="20"/>
      <c r="H1" s="20"/>
      <c r="I1" s="20"/>
      <c r="J1" s="20"/>
    </row>
    <row r="2" spans="1:10" s="15" customFormat="1" x14ac:dyDescent="0.25">
      <c r="A2" s="1" t="s">
        <v>126</v>
      </c>
      <c r="B2" s="4" t="s">
        <v>203</v>
      </c>
      <c r="C2" s="18"/>
      <c r="D2" s="19"/>
      <c r="E2" s="20"/>
      <c r="F2" s="20"/>
      <c r="G2" s="20"/>
      <c r="H2" s="20"/>
      <c r="I2" s="20"/>
      <c r="J2" s="20"/>
    </row>
    <row r="3" spans="1:10" s="15" customFormat="1" x14ac:dyDescent="0.25">
      <c r="A3" s="1" t="s">
        <v>127</v>
      </c>
      <c r="B3" s="154" t="str">
        <f>VFLAWsurfCase&amp;".dat"</f>
        <v>VFLAWsurf.dat</v>
      </c>
      <c r="C3" s="18"/>
      <c r="D3" s="19"/>
      <c r="E3" s="20"/>
      <c r="F3" s="20"/>
      <c r="G3" s="20"/>
      <c r="H3" s="20"/>
      <c r="I3" s="20"/>
      <c r="J3" s="20"/>
    </row>
    <row r="4" spans="1:10" s="15" customFormat="1" x14ac:dyDescent="0.25">
      <c r="A4" s="1"/>
      <c r="B4" s="114"/>
      <c r="C4" s="18"/>
      <c r="D4" s="19"/>
      <c r="E4" s="20"/>
      <c r="F4" s="20"/>
      <c r="G4" s="20"/>
      <c r="H4" s="20"/>
      <c r="I4" s="20"/>
      <c r="J4" s="20"/>
    </row>
    <row r="5" spans="1:10" s="15" customFormat="1" x14ac:dyDescent="0.25">
      <c r="A5" s="14" t="str">
        <f>IF(VFLAW_SURF_OPT="Just One","Flaw distribution for single flaw depth",IF(VFLAW_SURF_OPT="Several","Flaw distribution for several flaw depths","Do not fill this sheet"))</f>
        <v>Flaw distribution for several flaw depths</v>
      </c>
      <c r="B5" s="18"/>
      <c r="F5" s="20"/>
      <c r="G5" s="20"/>
    </row>
    <row r="6" spans="1:10" s="15" customFormat="1" x14ac:dyDescent="0.25">
      <c r="A6" s="16" t="str">
        <f>IF(VFLAW_SURF_OPT="None","",IF(VFLAW_SURF_OPT="Just One","NOTE: All surface flaws assumed to have the same depth","NOTE: Please fill table below"))</f>
        <v>NOTE: Please fill table below</v>
      </c>
      <c r="B6" s="114"/>
      <c r="E6" s="20" t="s">
        <v>110</v>
      </c>
      <c r="F6" s="20"/>
      <c r="G6" s="20"/>
    </row>
    <row r="7" spans="1:10" s="15" customFormat="1" x14ac:dyDescent="0.25">
      <c r="A7" s="1" t="str">
        <f>IF(VFLAW_SURF_OPT="None","","Vessel Internal Radius")</f>
        <v>Vessel Internal Radius</v>
      </c>
      <c r="B7" s="158">
        <v>86</v>
      </c>
      <c r="C7" s="23" t="s">
        <v>33</v>
      </c>
      <c r="D7" s="16" t="str">
        <f>IF(VFLAW_SURF_OPT="None","","Should match FAVLoad input")</f>
        <v>Should match FAVLoad input</v>
      </c>
      <c r="E7" s="20" t="s">
        <v>111</v>
      </c>
      <c r="F7" s="159">
        <f>ROUND(IF(C7="mm",B7/25.4,IF(C7="in",B7,IF(C7="m",B7*(100/2.54),IF(C7="cm",B7/2.54,B7*12)))),3)</f>
        <v>86</v>
      </c>
      <c r="G7" s="20" t="s">
        <v>33</v>
      </c>
    </row>
    <row r="8" spans="1:10" s="15" customFormat="1" x14ac:dyDescent="0.25">
      <c r="A8" s="1" t="str">
        <f>IF(VFLAW_SURF_OPT="None","","Vessel Wall Thickness")</f>
        <v>Vessel Wall Thickness</v>
      </c>
      <c r="B8" s="158">
        <v>8.75</v>
      </c>
      <c r="C8" s="23" t="s">
        <v>33</v>
      </c>
      <c r="D8" s="16" t="str">
        <f>IF(VFLAW_SURF_OPT="None","","Should match FAVLoad input")</f>
        <v>Should match FAVLoad input</v>
      </c>
      <c r="E8" s="20" t="s">
        <v>112</v>
      </c>
      <c r="F8" s="159">
        <f t="shared" ref="F8:F10" si="0">ROUND(IF(C8="mm",B8/25.4,IF(C8="in",B8,IF(C8="m",B8*(100/2.54),IF(C8="cm",B8/2.54,B8*12)))),3)</f>
        <v>8.75</v>
      </c>
      <c r="G8" s="20" t="s">
        <v>33</v>
      </c>
    </row>
    <row r="9" spans="1:10" s="15" customFormat="1" x14ac:dyDescent="0.25">
      <c r="A9" s="1" t="str">
        <f>IF(VFLAW_SURF_OPT="None","","Vessel Cladding Thickness")</f>
        <v>Vessel Cladding Thickness</v>
      </c>
      <c r="B9" s="158">
        <v>0.25</v>
      </c>
      <c r="C9" s="23" t="s">
        <v>33</v>
      </c>
      <c r="D9" s="16" t="str">
        <f>IF(VFLAW_SURF_OPT="None","","Should match FAVLoad input")</f>
        <v>Should match FAVLoad input</v>
      </c>
      <c r="E9" s="20" t="s">
        <v>113</v>
      </c>
      <c r="F9" s="159">
        <f t="shared" si="0"/>
        <v>0.25</v>
      </c>
      <c r="G9" s="20" t="s">
        <v>33</v>
      </c>
    </row>
    <row r="10" spans="1:10" s="15" customFormat="1" x14ac:dyDescent="0.25">
      <c r="A10" s="1" t="s">
        <v>123</v>
      </c>
      <c r="B10" s="158">
        <v>156</v>
      </c>
      <c r="C10" s="23" t="s">
        <v>33</v>
      </c>
      <c r="D10" s="16" t="s">
        <v>122</v>
      </c>
      <c r="E10" s="20" t="s">
        <v>124</v>
      </c>
      <c r="F10" s="159">
        <f t="shared" si="0"/>
        <v>156</v>
      </c>
      <c r="G10" s="20" t="s">
        <v>33</v>
      </c>
    </row>
    <row r="11" spans="1:10" s="15" customFormat="1" x14ac:dyDescent="0.25">
      <c r="A11" s="15" t="str">
        <f>IF(VFLAW_SURF_OPT="None","","Total number of flaws per vessel")</f>
        <v>Total number of flaws per vessel</v>
      </c>
      <c r="B11" s="23">
        <v>25</v>
      </c>
      <c r="C11" s="124"/>
      <c r="D11" s="16" t="str">
        <f>IF(VFLAW_SURF_OPT="None","","Should match FAVLoad input")</f>
        <v>Should match FAVLoad input</v>
      </c>
      <c r="E11" s="20" t="s">
        <v>114</v>
      </c>
      <c r="F11" s="20">
        <f>B11</f>
        <v>25</v>
      </c>
      <c r="G11" s="20"/>
    </row>
    <row r="12" spans="1:10" s="15" customFormat="1" x14ac:dyDescent="0.25">
      <c r="A12" s="15" t="str">
        <f>IF(VFLAW_SURF_OPT="Just One","Flaw depth for all surface flaws","")</f>
        <v/>
      </c>
      <c r="B12" s="156">
        <v>5</v>
      </c>
      <c r="C12" s="124" t="s">
        <v>116</v>
      </c>
      <c r="D12" s="16" t="str">
        <f>IF(VFLAW_SURF_OPT="Just One","Only integers","")</f>
        <v/>
      </c>
      <c r="E12" s="20" t="s">
        <v>115</v>
      </c>
      <c r="F12" s="157">
        <f>B12</f>
        <v>5</v>
      </c>
      <c r="G12" s="20" t="s">
        <v>116</v>
      </c>
    </row>
    <row r="13" spans="1:10" s="15" customFormat="1" x14ac:dyDescent="0.25">
      <c r="B13" s="18"/>
    </row>
    <row r="14" spans="1:10" s="15" customFormat="1" x14ac:dyDescent="0.25">
      <c r="A14" s="14" t="str">
        <f>IF(VFLAW_SURF_OPT="Just One","Flaw Aspect Ratio Distribution",IF(VFLAW_SURF_OPT="Several","Flaw distribution for several flaw depths",""))</f>
        <v>Flaw distribution for several flaw depths</v>
      </c>
      <c r="B14" s="18"/>
      <c r="E14" s="20" t="s">
        <v>110</v>
      </c>
    </row>
    <row r="15" spans="1:10" s="15" customFormat="1" x14ac:dyDescent="0.25">
      <c r="A15" s="15" t="str">
        <f>IF(VFLAW_SURF_OPT="None","","Use default distribution?")</f>
        <v>Use default distribution?</v>
      </c>
      <c r="B15" s="4" t="s">
        <v>54</v>
      </c>
      <c r="D15" s="16" t="str">
        <f>IF(ROUND(SUM(B16:B19),4)&lt;&gt;100,"WARNING: sum of aspect ratio distributions must equal 100%","")</f>
        <v/>
      </c>
      <c r="E15" s="20" t="s">
        <v>121</v>
      </c>
      <c r="F15" s="112" t="str">
        <f>$B$15</f>
        <v>yes</v>
      </c>
    </row>
    <row r="16" spans="1:10" s="15" customFormat="1" x14ac:dyDescent="0.25">
      <c r="A16" s="15" t="str">
        <f>IF(AND(VFLAW_SURF_OPT="Just One",VFLAW_SURF_ARdefault="no"),"Percentage of flaws with c/a=2","")</f>
        <v/>
      </c>
      <c r="B16" s="167">
        <v>25</v>
      </c>
      <c r="C16" s="115" t="str">
        <f>IF(AND(VFLAW_SURF_OPT="Just One",VFLAW_SURF_ARdefault="no"),"%","")</f>
        <v/>
      </c>
      <c r="D16" s="16" t="str">
        <f>IF(AND(VFLAW_SURF_OPT="Just One",VFLAW_SURF_ARdefault="no"),"Fill this line","Do not fill this line")</f>
        <v>Do not fill this line</v>
      </c>
      <c r="E16" s="20" t="s">
        <v>117</v>
      </c>
      <c r="F16" s="157">
        <f>IF(VFLAW_SURF_ARdefault="yes",67.450303,B16)</f>
        <v>67.450303000000005</v>
      </c>
      <c r="G16" s="20" t="s">
        <v>116</v>
      </c>
    </row>
    <row r="17" spans="1:7" s="15" customFormat="1" x14ac:dyDescent="0.25">
      <c r="A17" s="15" t="str">
        <f>IF(AND(VFLAW_SURF_OPT="Just One",VFLAW_SURF_ARdefault="no"),"Percentage of flaws with c/a=6","")</f>
        <v/>
      </c>
      <c r="B17" s="167">
        <v>25</v>
      </c>
      <c r="C17" s="115" t="str">
        <f>IF(AND(VFLAW_SURF_OPT="Just One",VFLAW_SURF_ARdefault="no"),"%","")</f>
        <v/>
      </c>
      <c r="D17" s="16" t="str">
        <f>IF(AND(VFLAW_SURF_OPT="Just One",VFLAW_SURF_ARdefault="no"),"Fill this line","Do not fill this line")</f>
        <v>Do not fill this line</v>
      </c>
      <c r="E17" s="20" t="s">
        <v>118</v>
      </c>
      <c r="F17" s="157">
        <f>IF(VFLAW_SURF_ARdefault="yes",20.76893,B17)</f>
        <v>20.768930000000001</v>
      </c>
      <c r="G17" s="20" t="s">
        <v>116</v>
      </c>
    </row>
    <row r="18" spans="1:7" s="15" customFormat="1" x14ac:dyDescent="0.25">
      <c r="A18" s="15" t="str">
        <f>IF(AND(VFLAW_SURF_OPT="Just One",VFLAW_SURF_ARdefault="no"),"Percentage of flaws with c/a=10","")</f>
        <v/>
      </c>
      <c r="B18" s="167">
        <v>25</v>
      </c>
      <c r="C18" s="115" t="str">
        <f>IF(AND(VFLAW_SURF_OPT="Just One",VFLAW_SURF_ARdefault="no"),"%","")</f>
        <v/>
      </c>
      <c r="D18" s="16" t="str">
        <f>IF(AND(VFLAW_SURF_OPT="Just One",VFLAW_SURF_ARdefault="no"),"Fill this line","Do not fill this line")</f>
        <v>Do not fill this line</v>
      </c>
      <c r="E18" s="20" t="s">
        <v>119</v>
      </c>
      <c r="F18" s="157">
        <f>IF(VFLAW_SURF_ARdefault="yes",3.964178,B18)</f>
        <v>3.964178</v>
      </c>
      <c r="G18" s="20" t="s">
        <v>116</v>
      </c>
    </row>
    <row r="19" spans="1:7" s="15" customFormat="1" x14ac:dyDescent="0.25">
      <c r="A19" s="15" t="str">
        <f>IF(AND(VFLAW_SURF_OPT="Just One",VFLAW_SURF_ARdefault="no"),"Percentage of flaws with c/a=Infinity","")</f>
        <v/>
      </c>
      <c r="B19" s="167">
        <v>25</v>
      </c>
      <c r="C19" s="115" t="str">
        <f>IF(AND(VFLAW_SURF_OPT="Just One",VFLAW_SURF_ARdefault="no"),"%","")</f>
        <v/>
      </c>
      <c r="D19" s="16" t="str">
        <f>IF(AND(VFLAW_SURF_OPT="Just One",VFLAW_SURF_ARdefault="no"),"Fill this line","Do not fill this line")</f>
        <v>Do not fill this line</v>
      </c>
      <c r="E19" s="20" t="s">
        <v>120</v>
      </c>
      <c r="F19" s="157">
        <f>IF(VFLAW_SURF_ARdefault="yes",7.816589,B19)</f>
        <v>7.8165889999999996</v>
      </c>
      <c r="G19" s="20" t="s">
        <v>116</v>
      </c>
    </row>
    <row r="20" spans="1:7" s="15" customFormat="1" x14ac:dyDescent="0.25">
      <c r="B20" s="18"/>
      <c r="D20" s="116"/>
    </row>
    <row r="21" spans="1:7" s="15" customFormat="1" x14ac:dyDescent="0.25">
      <c r="A21" s="14" t="str">
        <f>IF(VFLAW_SURF_OPT="Several","Flaw distribution for several flaw depths","")</f>
        <v>Flaw distribution for several flaw depths</v>
      </c>
      <c r="B21" s="18"/>
      <c r="D21" s="116"/>
    </row>
    <row r="22" spans="1:7" s="15" customFormat="1" ht="15.75" thickBot="1" x14ac:dyDescent="0.3">
      <c r="A22" s="16" t="str">
        <f>IF(VFLAW_SURF_OPT="Several","Fill this table","Do not fill this table")</f>
        <v>Fill this table</v>
      </c>
      <c r="B22" s="19" t="str">
        <f>IF(VFLAW_SURF_OPT="Several",IF(SUM(B25:$B$124)=100,"","Sum must equal 100%"),"Do not fill this column")</f>
        <v/>
      </c>
      <c r="C22" s="16" t="str">
        <f>IF(AND(VFLAW_SURF_OPT="Several",VFLAW_SURF_ARdefault="no"),"Fill this column","Do not fill this column")</f>
        <v>Do not fill this column</v>
      </c>
      <c r="D22" s="16" t="str">
        <f>IF(AND(VFLAW_SURF_OPT="Several",VFLAW_SURF_ARdefault="no"),"Fill this column","Do not fill this column")</f>
        <v>Do not fill this column</v>
      </c>
      <c r="E22" s="16" t="str">
        <f>IF(AND(VFLAW_SURF_OPT="Several",VFLAW_SURF_ARdefault="no"),"Fill this column","Do not fill this column")</f>
        <v>Do not fill this column</v>
      </c>
      <c r="F22" s="16" t="str">
        <f>IF(AND(VFLAW_SURF_OPT="Several",VFLAW_SURF_ARdefault="no"),"Fill this column","Do not fill this column")</f>
        <v>Do not fill this column</v>
      </c>
    </row>
    <row r="23" spans="1:7" s="118" customFormat="1" ht="30.75" customHeight="1" x14ac:dyDescent="0.25">
      <c r="A23" s="117" t="str">
        <f>IF(VFLAW_SURF_OPT="Several","Flaw Depth","")</f>
        <v>Flaw Depth</v>
      </c>
      <c r="B23" s="110" t="str">
        <f>IF(VFLAW_SURF_OPT="Several","Percentage of flaws at given depth","")</f>
        <v>Percentage of flaws at given depth</v>
      </c>
      <c r="C23" s="117" t="str">
        <f>IF(AND(VFLAW_SURF_OPT="Several",VFLAW_SURF_ARdefault="no"),"c/a=2","")</f>
        <v/>
      </c>
      <c r="D23" s="111" t="str">
        <f>IF(AND(VFLAW_SURF_OPT="Several",VFLAW_SURF_ARdefault="no"),"c/a=6","")</f>
        <v/>
      </c>
      <c r="E23" s="111" t="str">
        <f>IF(AND(VFLAW_SURF_OPT="Several",VFLAW_SURF_ARdefault="no"),"c/a=10","")</f>
        <v/>
      </c>
      <c r="F23" s="110" t="str">
        <f>IF(AND(VFLAW_SURF_OPT="Several",VFLAW_SURF_ARdefault="no"),"c/a=Infinity","")</f>
        <v/>
      </c>
    </row>
    <row r="24" spans="1:7" s="15" customFormat="1" ht="15.75" thickBot="1" x14ac:dyDescent="0.3">
      <c r="A24" s="119" t="str">
        <f>IF(VFLAW_SURF_OPT="Several","%","")</f>
        <v>%</v>
      </c>
      <c r="B24" s="120" t="str">
        <f>IF(VFLAW_SURF_OPT="Several","%","")</f>
        <v>%</v>
      </c>
      <c r="C24" s="119" t="str">
        <f>IF(AND(VFLAW_SURF_OPT="Several",VFLAW_SURF_ARdefault="no"),"%","")</f>
        <v/>
      </c>
      <c r="D24" s="121" t="str">
        <f>IF(AND(VFLAW_SURF_OPT="Several",VFLAW_SURF_ARdefault="no"),"%","")</f>
        <v/>
      </c>
      <c r="E24" s="121" t="str">
        <f>IF(AND(VFLAW_SURF_OPT="Several",VFLAW_SURF_ARdefault="no"),"%","")</f>
        <v/>
      </c>
      <c r="F24" s="120" t="str">
        <f>IF(AND(VFLAW_SURF_OPT="Several",VFLAW_SURF_ARdefault="no"),"%","")</f>
        <v/>
      </c>
    </row>
    <row r="25" spans="1:7" s="15" customFormat="1" x14ac:dyDescent="0.25">
      <c r="A25" s="122">
        <f t="shared" ref="A25:A56" si="1">IF(VFLAW_SURF_OPT="Several",IF(A24="%",1,A24+1),"")</f>
        <v>1</v>
      </c>
      <c r="B25" s="165">
        <v>10</v>
      </c>
      <c r="C25" s="181"/>
      <c r="D25" s="182"/>
      <c r="E25" s="182"/>
      <c r="F25" s="165"/>
      <c r="G25" s="16" t="str">
        <f t="shared" ref="G25:G56" si="2">IF(AND(B25&lt;&gt;0,VFLAW_SURF_ARdefault="no"),IF(SUM(C25:F25)=100,"","Sum must equal 100%"),"")</f>
        <v/>
      </c>
    </row>
    <row r="26" spans="1:7" s="15" customFormat="1" x14ac:dyDescent="0.25">
      <c r="A26" s="122">
        <f t="shared" si="1"/>
        <v>2</v>
      </c>
      <c r="B26" s="165">
        <v>10</v>
      </c>
      <c r="C26" s="181"/>
      <c r="D26" s="182"/>
      <c r="E26" s="182"/>
      <c r="F26" s="165"/>
      <c r="G26" s="16" t="str">
        <f t="shared" si="2"/>
        <v/>
      </c>
    </row>
    <row r="27" spans="1:7" s="15" customFormat="1" x14ac:dyDescent="0.25">
      <c r="A27" s="122">
        <f t="shared" si="1"/>
        <v>3</v>
      </c>
      <c r="B27" s="165">
        <v>10</v>
      </c>
      <c r="C27" s="181"/>
      <c r="D27" s="182"/>
      <c r="E27" s="182"/>
      <c r="F27" s="165"/>
      <c r="G27" s="16" t="str">
        <f t="shared" si="2"/>
        <v/>
      </c>
    </row>
    <row r="28" spans="1:7" s="15" customFormat="1" x14ac:dyDescent="0.25">
      <c r="A28" s="122">
        <f t="shared" si="1"/>
        <v>4</v>
      </c>
      <c r="B28" s="165">
        <v>10</v>
      </c>
      <c r="C28" s="181"/>
      <c r="D28" s="182"/>
      <c r="E28" s="182"/>
      <c r="F28" s="165"/>
      <c r="G28" s="16" t="str">
        <f t="shared" si="2"/>
        <v/>
      </c>
    </row>
    <row r="29" spans="1:7" s="15" customFormat="1" x14ac:dyDescent="0.25">
      <c r="A29" s="122">
        <f t="shared" si="1"/>
        <v>5</v>
      </c>
      <c r="B29" s="165">
        <v>10</v>
      </c>
      <c r="C29" s="181"/>
      <c r="D29" s="182"/>
      <c r="E29" s="182"/>
      <c r="F29" s="165"/>
      <c r="G29" s="16" t="str">
        <f t="shared" si="2"/>
        <v/>
      </c>
    </row>
    <row r="30" spans="1:7" s="15" customFormat="1" x14ac:dyDescent="0.25">
      <c r="A30" s="122">
        <f t="shared" si="1"/>
        <v>6</v>
      </c>
      <c r="B30" s="165">
        <v>5</v>
      </c>
      <c r="C30" s="181"/>
      <c r="D30" s="182"/>
      <c r="E30" s="182"/>
      <c r="F30" s="165"/>
      <c r="G30" s="16" t="str">
        <f t="shared" si="2"/>
        <v/>
      </c>
    </row>
    <row r="31" spans="1:7" s="15" customFormat="1" x14ac:dyDescent="0.25">
      <c r="A31" s="122">
        <f t="shared" si="1"/>
        <v>7</v>
      </c>
      <c r="B31" s="165">
        <v>5</v>
      </c>
      <c r="C31" s="181"/>
      <c r="D31" s="182"/>
      <c r="E31" s="182"/>
      <c r="F31" s="165"/>
      <c r="G31" s="16" t="str">
        <f t="shared" si="2"/>
        <v/>
      </c>
    </row>
    <row r="32" spans="1:7" s="15" customFormat="1" x14ac:dyDescent="0.25">
      <c r="A32" s="122">
        <f t="shared" si="1"/>
        <v>8</v>
      </c>
      <c r="B32" s="165">
        <v>5</v>
      </c>
      <c r="C32" s="181"/>
      <c r="D32" s="182"/>
      <c r="E32" s="182"/>
      <c r="F32" s="165"/>
      <c r="G32" s="16" t="str">
        <f t="shared" si="2"/>
        <v/>
      </c>
    </row>
    <row r="33" spans="1:7" s="15" customFormat="1" x14ac:dyDescent="0.25">
      <c r="A33" s="122">
        <f t="shared" si="1"/>
        <v>9</v>
      </c>
      <c r="B33" s="165">
        <v>5</v>
      </c>
      <c r="C33" s="181"/>
      <c r="D33" s="182"/>
      <c r="E33" s="182"/>
      <c r="F33" s="165"/>
      <c r="G33" s="16" t="str">
        <f t="shared" si="2"/>
        <v/>
      </c>
    </row>
    <row r="34" spans="1:7" s="15" customFormat="1" x14ac:dyDescent="0.25">
      <c r="A34" s="122">
        <f t="shared" si="1"/>
        <v>10</v>
      </c>
      <c r="B34" s="165">
        <v>5</v>
      </c>
      <c r="C34" s="181"/>
      <c r="D34" s="182"/>
      <c r="E34" s="182"/>
      <c r="F34" s="165"/>
      <c r="G34" s="16" t="str">
        <f t="shared" si="2"/>
        <v/>
      </c>
    </row>
    <row r="35" spans="1:7" s="15" customFormat="1" x14ac:dyDescent="0.25">
      <c r="A35" s="122">
        <f t="shared" si="1"/>
        <v>11</v>
      </c>
      <c r="B35" s="165">
        <v>5</v>
      </c>
      <c r="C35" s="181"/>
      <c r="D35" s="182"/>
      <c r="E35" s="182"/>
      <c r="F35" s="165"/>
      <c r="G35" s="16" t="str">
        <f t="shared" si="2"/>
        <v/>
      </c>
    </row>
    <row r="36" spans="1:7" s="15" customFormat="1" x14ac:dyDescent="0.25">
      <c r="A36" s="122">
        <f t="shared" si="1"/>
        <v>12</v>
      </c>
      <c r="B36" s="165">
        <v>5</v>
      </c>
      <c r="C36" s="181"/>
      <c r="D36" s="182"/>
      <c r="E36" s="182"/>
      <c r="F36" s="165"/>
      <c r="G36" s="16" t="str">
        <f t="shared" si="2"/>
        <v/>
      </c>
    </row>
    <row r="37" spans="1:7" s="15" customFormat="1" x14ac:dyDescent="0.25">
      <c r="A37" s="122">
        <f t="shared" si="1"/>
        <v>13</v>
      </c>
      <c r="B37" s="165">
        <v>5</v>
      </c>
      <c r="C37" s="181"/>
      <c r="D37" s="182"/>
      <c r="E37" s="182"/>
      <c r="F37" s="165"/>
      <c r="G37" s="16" t="str">
        <f t="shared" si="2"/>
        <v/>
      </c>
    </row>
    <row r="38" spans="1:7" s="15" customFormat="1" x14ac:dyDescent="0.25">
      <c r="A38" s="122">
        <f t="shared" si="1"/>
        <v>14</v>
      </c>
      <c r="B38" s="165">
        <v>5</v>
      </c>
      <c r="C38" s="181"/>
      <c r="D38" s="182"/>
      <c r="E38" s="182"/>
      <c r="F38" s="165"/>
      <c r="G38" s="16" t="str">
        <f t="shared" si="2"/>
        <v/>
      </c>
    </row>
    <row r="39" spans="1:7" s="15" customFormat="1" x14ac:dyDescent="0.25">
      <c r="A39" s="122">
        <f t="shared" si="1"/>
        <v>15</v>
      </c>
      <c r="B39" s="165">
        <v>5</v>
      </c>
      <c r="C39" s="181"/>
      <c r="D39" s="182"/>
      <c r="E39" s="182"/>
      <c r="F39" s="165"/>
      <c r="G39" s="16" t="str">
        <f t="shared" si="2"/>
        <v/>
      </c>
    </row>
    <row r="40" spans="1:7" s="15" customFormat="1" x14ac:dyDescent="0.25">
      <c r="A40" s="122">
        <f t="shared" si="1"/>
        <v>16</v>
      </c>
      <c r="B40" s="165">
        <v>0</v>
      </c>
      <c r="C40" s="181"/>
      <c r="D40" s="182"/>
      <c r="E40" s="182"/>
      <c r="F40" s="165"/>
      <c r="G40" s="16" t="str">
        <f t="shared" si="2"/>
        <v/>
      </c>
    </row>
    <row r="41" spans="1:7" s="15" customFormat="1" x14ac:dyDescent="0.25">
      <c r="A41" s="122">
        <f t="shared" si="1"/>
        <v>17</v>
      </c>
      <c r="B41" s="165">
        <v>0</v>
      </c>
      <c r="C41" s="181"/>
      <c r="D41" s="182"/>
      <c r="E41" s="182"/>
      <c r="F41" s="165"/>
      <c r="G41" s="16" t="str">
        <f t="shared" si="2"/>
        <v/>
      </c>
    </row>
    <row r="42" spans="1:7" s="15" customFormat="1" x14ac:dyDescent="0.25">
      <c r="A42" s="122">
        <f t="shared" si="1"/>
        <v>18</v>
      </c>
      <c r="B42" s="165">
        <v>0</v>
      </c>
      <c r="C42" s="181"/>
      <c r="D42" s="182"/>
      <c r="E42" s="182"/>
      <c r="F42" s="165"/>
      <c r="G42" s="16" t="str">
        <f t="shared" si="2"/>
        <v/>
      </c>
    </row>
    <row r="43" spans="1:7" s="15" customFormat="1" x14ac:dyDescent="0.25">
      <c r="A43" s="122">
        <f t="shared" si="1"/>
        <v>19</v>
      </c>
      <c r="B43" s="165">
        <v>0</v>
      </c>
      <c r="C43" s="181"/>
      <c r="D43" s="182"/>
      <c r="E43" s="182"/>
      <c r="F43" s="165"/>
      <c r="G43" s="16" t="str">
        <f t="shared" si="2"/>
        <v/>
      </c>
    </row>
    <row r="44" spans="1:7" s="15" customFormat="1" x14ac:dyDescent="0.25">
      <c r="A44" s="122">
        <f t="shared" si="1"/>
        <v>20</v>
      </c>
      <c r="B44" s="165">
        <v>0</v>
      </c>
      <c r="C44" s="181"/>
      <c r="D44" s="182"/>
      <c r="E44" s="182"/>
      <c r="F44" s="165"/>
      <c r="G44" s="16" t="str">
        <f t="shared" si="2"/>
        <v/>
      </c>
    </row>
    <row r="45" spans="1:7" s="15" customFormat="1" x14ac:dyDescent="0.25">
      <c r="A45" s="122">
        <f t="shared" si="1"/>
        <v>21</v>
      </c>
      <c r="B45" s="165">
        <v>0</v>
      </c>
      <c r="C45" s="181"/>
      <c r="D45" s="182"/>
      <c r="E45" s="182"/>
      <c r="F45" s="165"/>
      <c r="G45" s="16" t="str">
        <f t="shared" si="2"/>
        <v/>
      </c>
    </row>
    <row r="46" spans="1:7" s="15" customFormat="1" x14ac:dyDescent="0.25">
      <c r="A46" s="122">
        <f t="shared" si="1"/>
        <v>22</v>
      </c>
      <c r="B46" s="165">
        <v>0</v>
      </c>
      <c r="C46" s="181"/>
      <c r="D46" s="182"/>
      <c r="E46" s="182"/>
      <c r="F46" s="165"/>
      <c r="G46" s="16" t="str">
        <f t="shared" si="2"/>
        <v/>
      </c>
    </row>
    <row r="47" spans="1:7" s="15" customFormat="1" x14ac:dyDescent="0.25">
      <c r="A47" s="122">
        <f t="shared" si="1"/>
        <v>23</v>
      </c>
      <c r="B47" s="165">
        <v>0</v>
      </c>
      <c r="C47" s="181"/>
      <c r="D47" s="182"/>
      <c r="E47" s="182"/>
      <c r="F47" s="165"/>
      <c r="G47" s="16" t="str">
        <f t="shared" si="2"/>
        <v/>
      </c>
    </row>
    <row r="48" spans="1:7" s="15" customFormat="1" x14ac:dyDescent="0.25">
      <c r="A48" s="122">
        <f t="shared" si="1"/>
        <v>24</v>
      </c>
      <c r="B48" s="165">
        <v>0</v>
      </c>
      <c r="C48" s="181"/>
      <c r="D48" s="182"/>
      <c r="E48" s="182"/>
      <c r="F48" s="165"/>
      <c r="G48" s="16" t="str">
        <f t="shared" si="2"/>
        <v/>
      </c>
    </row>
    <row r="49" spans="1:7" s="15" customFormat="1" x14ac:dyDescent="0.25">
      <c r="A49" s="122">
        <f t="shared" si="1"/>
        <v>25</v>
      </c>
      <c r="B49" s="165">
        <v>0</v>
      </c>
      <c r="C49" s="181"/>
      <c r="D49" s="182"/>
      <c r="E49" s="182"/>
      <c r="F49" s="165"/>
      <c r="G49" s="16" t="str">
        <f t="shared" si="2"/>
        <v/>
      </c>
    </row>
    <row r="50" spans="1:7" s="15" customFormat="1" x14ac:dyDescent="0.25">
      <c r="A50" s="122">
        <f t="shared" si="1"/>
        <v>26</v>
      </c>
      <c r="B50" s="165">
        <v>0</v>
      </c>
      <c r="C50" s="181"/>
      <c r="D50" s="182"/>
      <c r="E50" s="182"/>
      <c r="F50" s="165"/>
      <c r="G50" s="16" t="str">
        <f t="shared" si="2"/>
        <v/>
      </c>
    </row>
    <row r="51" spans="1:7" s="15" customFormat="1" x14ac:dyDescent="0.25">
      <c r="A51" s="122">
        <f t="shared" si="1"/>
        <v>27</v>
      </c>
      <c r="B51" s="165">
        <v>0</v>
      </c>
      <c r="C51" s="181"/>
      <c r="D51" s="182"/>
      <c r="E51" s="182"/>
      <c r="F51" s="165"/>
      <c r="G51" s="16" t="str">
        <f t="shared" si="2"/>
        <v/>
      </c>
    </row>
    <row r="52" spans="1:7" s="15" customFormat="1" x14ac:dyDescent="0.25">
      <c r="A52" s="122">
        <f t="shared" si="1"/>
        <v>28</v>
      </c>
      <c r="B52" s="165">
        <v>0</v>
      </c>
      <c r="C52" s="181"/>
      <c r="D52" s="182"/>
      <c r="E52" s="182"/>
      <c r="F52" s="165"/>
      <c r="G52" s="16" t="str">
        <f t="shared" si="2"/>
        <v/>
      </c>
    </row>
    <row r="53" spans="1:7" s="15" customFormat="1" x14ac:dyDescent="0.25">
      <c r="A53" s="122">
        <f t="shared" si="1"/>
        <v>29</v>
      </c>
      <c r="B53" s="165">
        <v>0</v>
      </c>
      <c r="C53" s="181"/>
      <c r="D53" s="182"/>
      <c r="E53" s="182"/>
      <c r="F53" s="165"/>
      <c r="G53" s="16" t="str">
        <f t="shared" si="2"/>
        <v/>
      </c>
    </row>
    <row r="54" spans="1:7" s="15" customFormat="1" x14ac:dyDescent="0.25">
      <c r="A54" s="122">
        <f t="shared" si="1"/>
        <v>30</v>
      </c>
      <c r="B54" s="165">
        <v>0</v>
      </c>
      <c r="C54" s="181"/>
      <c r="D54" s="182"/>
      <c r="E54" s="182"/>
      <c r="F54" s="165"/>
      <c r="G54" s="16" t="str">
        <f t="shared" si="2"/>
        <v/>
      </c>
    </row>
    <row r="55" spans="1:7" s="15" customFormat="1" x14ac:dyDescent="0.25">
      <c r="A55" s="122">
        <f t="shared" si="1"/>
        <v>31</v>
      </c>
      <c r="B55" s="165">
        <v>0</v>
      </c>
      <c r="C55" s="181"/>
      <c r="D55" s="182"/>
      <c r="E55" s="182"/>
      <c r="F55" s="165"/>
      <c r="G55" s="16" t="str">
        <f t="shared" si="2"/>
        <v/>
      </c>
    </row>
    <row r="56" spans="1:7" s="15" customFormat="1" x14ac:dyDescent="0.25">
      <c r="A56" s="122">
        <f t="shared" si="1"/>
        <v>32</v>
      </c>
      <c r="B56" s="165">
        <v>0</v>
      </c>
      <c r="C56" s="181"/>
      <c r="D56" s="182"/>
      <c r="E56" s="182"/>
      <c r="F56" s="165"/>
      <c r="G56" s="16" t="str">
        <f t="shared" si="2"/>
        <v/>
      </c>
    </row>
    <row r="57" spans="1:7" s="15" customFormat="1" x14ac:dyDescent="0.25">
      <c r="A57" s="122">
        <f t="shared" ref="A57:A88" si="3">IF(VFLAW_SURF_OPT="Several",IF(A56="%",1,A56+1),"")</f>
        <v>33</v>
      </c>
      <c r="B57" s="165">
        <v>0</v>
      </c>
      <c r="C57" s="181"/>
      <c r="D57" s="182"/>
      <c r="E57" s="182"/>
      <c r="F57" s="165"/>
      <c r="G57" s="16" t="str">
        <f t="shared" ref="G57:G88" si="4">IF(AND(B57&lt;&gt;0,VFLAW_SURF_ARdefault="no"),IF(SUM(C57:F57)=100,"","Sum must equal 100%"),"")</f>
        <v/>
      </c>
    </row>
    <row r="58" spans="1:7" s="15" customFormat="1" x14ac:dyDescent="0.25">
      <c r="A58" s="122">
        <f t="shared" si="3"/>
        <v>34</v>
      </c>
      <c r="B58" s="165">
        <v>0</v>
      </c>
      <c r="C58" s="181"/>
      <c r="D58" s="182"/>
      <c r="E58" s="182"/>
      <c r="F58" s="165"/>
      <c r="G58" s="16" t="str">
        <f t="shared" si="4"/>
        <v/>
      </c>
    </row>
    <row r="59" spans="1:7" s="15" customFormat="1" x14ac:dyDescent="0.25">
      <c r="A59" s="122">
        <f t="shared" si="3"/>
        <v>35</v>
      </c>
      <c r="B59" s="165">
        <v>0</v>
      </c>
      <c r="C59" s="181"/>
      <c r="D59" s="182"/>
      <c r="E59" s="182"/>
      <c r="F59" s="165"/>
      <c r="G59" s="16" t="str">
        <f t="shared" si="4"/>
        <v/>
      </c>
    </row>
    <row r="60" spans="1:7" s="15" customFormat="1" x14ac:dyDescent="0.25">
      <c r="A60" s="122">
        <f t="shared" si="3"/>
        <v>36</v>
      </c>
      <c r="B60" s="165">
        <v>0</v>
      </c>
      <c r="C60" s="181"/>
      <c r="D60" s="182"/>
      <c r="E60" s="182"/>
      <c r="F60" s="165"/>
      <c r="G60" s="16" t="str">
        <f t="shared" si="4"/>
        <v/>
      </c>
    </row>
    <row r="61" spans="1:7" s="15" customFormat="1" x14ac:dyDescent="0.25">
      <c r="A61" s="122">
        <f t="shared" si="3"/>
        <v>37</v>
      </c>
      <c r="B61" s="165">
        <v>0</v>
      </c>
      <c r="C61" s="181"/>
      <c r="D61" s="182"/>
      <c r="E61" s="182"/>
      <c r="F61" s="165"/>
      <c r="G61" s="16" t="str">
        <f t="shared" si="4"/>
        <v/>
      </c>
    </row>
    <row r="62" spans="1:7" s="15" customFormat="1" x14ac:dyDescent="0.25">
      <c r="A62" s="122">
        <f t="shared" si="3"/>
        <v>38</v>
      </c>
      <c r="B62" s="165">
        <v>0</v>
      </c>
      <c r="C62" s="181"/>
      <c r="D62" s="182"/>
      <c r="E62" s="182"/>
      <c r="F62" s="165"/>
      <c r="G62" s="16" t="str">
        <f t="shared" si="4"/>
        <v/>
      </c>
    </row>
    <row r="63" spans="1:7" s="15" customFormat="1" x14ac:dyDescent="0.25">
      <c r="A63" s="122">
        <f t="shared" si="3"/>
        <v>39</v>
      </c>
      <c r="B63" s="165">
        <v>0</v>
      </c>
      <c r="C63" s="181"/>
      <c r="D63" s="182"/>
      <c r="E63" s="182"/>
      <c r="F63" s="165"/>
      <c r="G63" s="16" t="str">
        <f t="shared" si="4"/>
        <v/>
      </c>
    </row>
    <row r="64" spans="1:7" s="15" customFormat="1" x14ac:dyDescent="0.25">
      <c r="A64" s="122">
        <f t="shared" si="3"/>
        <v>40</v>
      </c>
      <c r="B64" s="165">
        <v>0</v>
      </c>
      <c r="C64" s="181"/>
      <c r="D64" s="182"/>
      <c r="E64" s="182"/>
      <c r="F64" s="165"/>
      <c r="G64" s="16" t="str">
        <f t="shared" si="4"/>
        <v/>
      </c>
    </row>
    <row r="65" spans="1:7" s="15" customFormat="1" x14ac:dyDescent="0.25">
      <c r="A65" s="122">
        <f t="shared" si="3"/>
        <v>41</v>
      </c>
      <c r="B65" s="165">
        <v>0</v>
      </c>
      <c r="C65" s="181"/>
      <c r="D65" s="182"/>
      <c r="E65" s="182"/>
      <c r="F65" s="165"/>
      <c r="G65" s="16" t="str">
        <f t="shared" si="4"/>
        <v/>
      </c>
    </row>
    <row r="66" spans="1:7" s="15" customFormat="1" x14ac:dyDescent="0.25">
      <c r="A66" s="122">
        <f t="shared" si="3"/>
        <v>42</v>
      </c>
      <c r="B66" s="165">
        <v>0</v>
      </c>
      <c r="C66" s="181"/>
      <c r="D66" s="182"/>
      <c r="E66" s="182"/>
      <c r="F66" s="165"/>
      <c r="G66" s="16" t="str">
        <f t="shared" si="4"/>
        <v/>
      </c>
    </row>
    <row r="67" spans="1:7" s="15" customFormat="1" x14ac:dyDescent="0.25">
      <c r="A67" s="122">
        <f t="shared" si="3"/>
        <v>43</v>
      </c>
      <c r="B67" s="165">
        <v>0</v>
      </c>
      <c r="C67" s="181"/>
      <c r="D67" s="182"/>
      <c r="E67" s="182"/>
      <c r="F67" s="165"/>
      <c r="G67" s="16" t="str">
        <f t="shared" si="4"/>
        <v/>
      </c>
    </row>
    <row r="68" spans="1:7" s="15" customFormat="1" x14ac:dyDescent="0.25">
      <c r="A68" s="122">
        <f t="shared" si="3"/>
        <v>44</v>
      </c>
      <c r="B68" s="165">
        <v>0</v>
      </c>
      <c r="C68" s="181"/>
      <c r="D68" s="182"/>
      <c r="E68" s="182"/>
      <c r="F68" s="165"/>
      <c r="G68" s="16" t="str">
        <f t="shared" si="4"/>
        <v/>
      </c>
    </row>
    <row r="69" spans="1:7" s="15" customFormat="1" x14ac:dyDescent="0.25">
      <c r="A69" s="122">
        <f t="shared" si="3"/>
        <v>45</v>
      </c>
      <c r="B69" s="165">
        <v>0</v>
      </c>
      <c r="C69" s="181"/>
      <c r="D69" s="182"/>
      <c r="E69" s="182"/>
      <c r="F69" s="165"/>
      <c r="G69" s="16" t="str">
        <f t="shared" si="4"/>
        <v/>
      </c>
    </row>
    <row r="70" spans="1:7" s="15" customFormat="1" x14ac:dyDescent="0.25">
      <c r="A70" s="122">
        <f t="shared" si="3"/>
        <v>46</v>
      </c>
      <c r="B70" s="165">
        <v>0</v>
      </c>
      <c r="C70" s="181"/>
      <c r="D70" s="182"/>
      <c r="E70" s="182"/>
      <c r="F70" s="165"/>
      <c r="G70" s="16" t="str">
        <f t="shared" si="4"/>
        <v/>
      </c>
    </row>
    <row r="71" spans="1:7" s="15" customFormat="1" x14ac:dyDescent="0.25">
      <c r="A71" s="122">
        <f t="shared" si="3"/>
        <v>47</v>
      </c>
      <c r="B71" s="165">
        <v>0</v>
      </c>
      <c r="C71" s="181"/>
      <c r="D71" s="182"/>
      <c r="E71" s="182"/>
      <c r="F71" s="165"/>
      <c r="G71" s="16" t="str">
        <f t="shared" si="4"/>
        <v/>
      </c>
    </row>
    <row r="72" spans="1:7" s="15" customFormat="1" x14ac:dyDescent="0.25">
      <c r="A72" s="122">
        <f t="shared" si="3"/>
        <v>48</v>
      </c>
      <c r="B72" s="165">
        <v>0</v>
      </c>
      <c r="C72" s="181"/>
      <c r="D72" s="182"/>
      <c r="E72" s="182"/>
      <c r="F72" s="165"/>
      <c r="G72" s="16" t="str">
        <f t="shared" si="4"/>
        <v/>
      </c>
    </row>
    <row r="73" spans="1:7" s="15" customFormat="1" x14ac:dyDescent="0.25">
      <c r="A73" s="122">
        <f t="shared" si="3"/>
        <v>49</v>
      </c>
      <c r="B73" s="165">
        <v>0</v>
      </c>
      <c r="C73" s="181"/>
      <c r="D73" s="182"/>
      <c r="E73" s="182"/>
      <c r="F73" s="165"/>
      <c r="G73" s="16" t="str">
        <f t="shared" si="4"/>
        <v/>
      </c>
    </row>
    <row r="74" spans="1:7" s="15" customFormat="1" x14ac:dyDescent="0.25">
      <c r="A74" s="122">
        <f t="shared" si="3"/>
        <v>50</v>
      </c>
      <c r="B74" s="165">
        <v>0</v>
      </c>
      <c r="C74" s="181"/>
      <c r="D74" s="182"/>
      <c r="E74" s="182"/>
      <c r="F74" s="165"/>
      <c r="G74" s="16" t="str">
        <f t="shared" si="4"/>
        <v/>
      </c>
    </row>
    <row r="75" spans="1:7" s="15" customFormat="1" x14ac:dyDescent="0.25">
      <c r="A75" s="122">
        <f t="shared" si="3"/>
        <v>51</v>
      </c>
      <c r="B75" s="165">
        <v>0</v>
      </c>
      <c r="C75" s="181"/>
      <c r="D75" s="182"/>
      <c r="E75" s="182"/>
      <c r="F75" s="165"/>
      <c r="G75" s="16" t="str">
        <f t="shared" si="4"/>
        <v/>
      </c>
    </row>
    <row r="76" spans="1:7" s="15" customFormat="1" x14ac:dyDescent="0.25">
      <c r="A76" s="122">
        <f t="shared" si="3"/>
        <v>52</v>
      </c>
      <c r="B76" s="165">
        <v>0</v>
      </c>
      <c r="C76" s="181"/>
      <c r="D76" s="182"/>
      <c r="E76" s="182"/>
      <c r="F76" s="165"/>
      <c r="G76" s="16" t="str">
        <f t="shared" si="4"/>
        <v/>
      </c>
    </row>
    <row r="77" spans="1:7" s="15" customFormat="1" x14ac:dyDescent="0.25">
      <c r="A77" s="122">
        <f t="shared" si="3"/>
        <v>53</v>
      </c>
      <c r="B77" s="165">
        <v>0</v>
      </c>
      <c r="C77" s="181"/>
      <c r="D77" s="182"/>
      <c r="E77" s="182"/>
      <c r="F77" s="165"/>
      <c r="G77" s="16" t="str">
        <f t="shared" si="4"/>
        <v/>
      </c>
    </row>
    <row r="78" spans="1:7" s="15" customFormat="1" x14ac:dyDescent="0.25">
      <c r="A78" s="122">
        <f t="shared" si="3"/>
        <v>54</v>
      </c>
      <c r="B78" s="165">
        <v>0</v>
      </c>
      <c r="C78" s="181"/>
      <c r="D78" s="182"/>
      <c r="E78" s="182"/>
      <c r="F78" s="165"/>
      <c r="G78" s="16" t="str">
        <f t="shared" si="4"/>
        <v/>
      </c>
    </row>
    <row r="79" spans="1:7" s="15" customFormat="1" x14ac:dyDescent="0.25">
      <c r="A79" s="122">
        <f t="shared" si="3"/>
        <v>55</v>
      </c>
      <c r="B79" s="165">
        <v>0</v>
      </c>
      <c r="C79" s="181"/>
      <c r="D79" s="182"/>
      <c r="E79" s="182"/>
      <c r="F79" s="165"/>
      <c r="G79" s="16" t="str">
        <f t="shared" si="4"/>
        <v/>
      </c>
    </row>
    <row r="80" spans="1:7" s="15" customFormat="1" x14ac:dyDescent="0.25">
      <c r="A80" s="122">
        <f t="shared" si="3"/>
        <v>56</v>
      </c>
      <c r="B80" s="165">
        <v>0</v>
      </c>
      <c r="C80" s="181"/>
      <c r="D80" s="182"/>
      <c r="E80" s="182"/>
      <c r="F80" s="165"/>
      <c r="G80" s="16" t="str">
        <f t="shared" si="4"/>
        <v/>
      </c>
    </row>
    <row r="81" spans="1:7" s="15" customFormat="1" x14ac:dyDescent="0.25">
      <c r="A81" s="122">
        <f t="shared" si="3"/>
        <v>57</v>
      </c>
      <c r="B81" s="165">
        <v>0</v>
      </c>
      <c r="C81" s="181"/>
      <c r="D81" s="182"/>
      <c r="E81" s="182"/>
      <c r="F81" s="165"/>
      <c r="G81" s="16" t="str">
        <f t="shared" si="4"/>
        <v/>
      </c>
    </row>
    <row r="82" spans="1:7" s="15" customFormat="1" x14ac:dyDescent="0.25">
      <c r="A82" s="122">
        <f t="shared" si="3"/>
        <v>58</v>
      </c>
      <c r="B82" s="165">
        <v>0</v>
      </c>
      <c r="C82" s="181"/>
      <c r="D82" s="182"/>
      <c r="E82" s="182"/>
      <c r="F82" s="165"/>
      <c r="G82" s="16" t="str">
        <f t="shared" si="4"/>
        <v/>
      </c>
    </row>
    <row r="83" spans="1:7" s="15" customFormat="1" x14ac:dyDescent="0.25">
      <c r="A83" s="122">
        <f t="shared" si="3"/>
        <v>59</v>
      </c>
      <c r="B83" s="165">
        <v>0</v>
      </c>
      <c r="C83" s="181"/>
      <c r="D83" s="182"/>
      <c r="E83" s="182"/>
      <c r="F83" s="165"/>
      <c r="G83" s="16" t="str">
        <f t="shared" si="4"/>
        <v/>
      </c>
    </row>
    <row r="84" spans="1:7" s="15" customFormat="1" x14ac:dyDescent="0.25">
      <c r="A84" s="122">
        <f t="shared" si="3"/>
        <v>60</v>
      </c>
      <c r="B84" s="165">
        <v>0</v>
      </c>
      <c r="C84" s="181"/>
      <c r="D84" s="182"/>
      <c r="E84" s="182"/>
      <c r="F84" s="165"/>
      <c r="G84" s="16" t="str">
        <f t="shared" si="4"/>
        <v/>
      </c>
    </row>
    <row r="85" spans="1:7" s="15" customFormat="1" x14ac:dyDescent="0.25">
      <c r="A85" s="122">
        <f t="shared" si="3"/>
        <v>61</v>
      </c>
      <c r="B85" s="165">
        <v>0</v>
      </c>
      <c r="C85" s="181"/>
      <c r="D85" s="182"/>
      <c r="E85" s="182"/>
      <c r="F85" s="165"/>
      <c r="G85" s="16" t="str">
        <f t="shared" si="4"/>
        <v/>
      </c>
    </row>
    <row r="86" spans="1:7" s="15" customFormat="1" x14ac:dyDescent="0.25">
      <c r="A86" s="122">
        <f t="shared" si="3"/>
        <v>62</v>
      </c>
      <c r="B86" s="165">
        <v>0</v>
      </c>
      <c r="C86" s="181"/>
      <c r="D86" s="182"/>
      <c r="E86" s="182"/>
      <c r="F86" s="165"/>
      <c r="G86" s="16" t="str">
        <f t="shared" si="4"/>
        <v/>
      </c>
    </row>
    <row r="87" spans="1:7" s="15" customFormat="1" x14ac:dyDescent="0.25">
      <c r="A87" s="122">
        <f t="shared" si="3"/>
        <v>63</v>
      </c>
      <c r="B87" s="165">
        <v>0</v>
      </c>
      <c r="C87" s="181"/>
      <c r="D87" s="182"/>
      <c r="E87" s="182"/>
      <c r="F87" s="165"/>
      <c r="G87" s="16" t="str">
        <f t="shared" si="4"/>
        <v/>
      </c>
    </row>
    <row r="88" spans="1:7" s="15" customFormat="1" x14ac:dyDescent="0.25">
      <c r="A88" s="122">
        <f t="shared" si="3"/>
        <v>64</v>
      </c>
      <c r="B88" s="165">
        <v>0</v>
      </c>
      <c r="C88" s="181"/>
      <c r="D88" s="182"/>
      <c r="E88" s="182"/>
      <c r="F88" s="165"/>
      <c r="G88" s="16" t="str">
        <f t="shared" si="4"/>
        <v/>
      </c>
    </row>
    <row r="89" spans="1:7" s="15" customFormat="1" x14ac:dyDescent="0.25">
      <c r="A89" s="122">
        <f t="shared" ref="A89:A124" si="5">IF(VFLAW_SURF_OPT="Several",IF(A88="%",1,A88+1),"")</f>
        <v>65</v>
      </c>
      <c r="B89" s="165">
        <v>0</v>
      </c>
      <c r="C89" s="181"/>
      <c r="D89" s="182"/>
      <c r="E89" s="182"/>
      <c r="F89" s="165"/>
      <c r="G89" s="16" t="str">
        <f t="shared" ref="G89:G120" si="6">IF(AND(B89&lt;&gt;0,VFLAW_SURF_ARdefault="no"),IF(SUM(C89:F89)=100,"","Sum must equal 100%"),"")</f>
        <v/>
      </c>
    </row>
    <row r="90" spans="1:7" s="15" customFormat="1" x14ac:dyDescent="0.25">
      <c r="A90" s="122">
        <f t="shared" si="5"/>
        <v>66</v>
      </c>
      <c r="B90" s="165">
        <v>0</v>
      </c>
      <c r="C90" s="181"/>
      <c r="D90" s="182"/>
      <c r="E90" s="182"/>
      <c r="F90" s="165"/>
      <c r="G90" s="16" t="str">
        <f t="shared" si="6"/>
        <v/>
      </c>
    </row>
    <row r="91" spans="1:7" s="15" customFormat="1" x14ac:dyDescent="0.25">
      <c r="A91" s="122">
        <f t="shared" si="5"/>
        <v>67</v>
      </c>
      <c r="B91" s="165">
        <v>0</v>
      </c>
      <c r="C91" s="181"/>
      <c r="D91" s="182"/>
      <c r="E91" s="182"/>
      <c r="F91" s="165"/>
      <c r="G91" s="16" t="str">
        <f t="shared" si="6"/>
        <v/>
      </c>
    </row>
    <row r="92" spans="1:7" s="15" customFormat="1" x14ac:dyDescent="0.25">
      <c r="A92" s="122">
        <f t="shared" si="5"/>
        <v>68</v>
      </c>
      <c r="B92" s="165">
        <v>0</v>
      </c>
      <c r="C92" s="181"/>
      <c r="D92" s="182"/>
      <c r="E92" s="182"/>
      <c r="F92" s="165"/>
      <c r="G92" s="16" t="str">
        <f t="shared" si="6"/>
        <v/>
      </c>
    </row>
    <row r="93" spans="1:7" s="15" customFormat="1" x14ac:dyDescent="0.25">
      <c r="A93" s="122">
        <f t="shared" si="5"/>
        <v>69</v>
      </c>
      <c r="B93" s="165">
        <v>0</v>
      </c>
      <c r="C93" s="181"/>
      <c r="D93" s="182"/>
      <c r="E93" s="182"/>
      <c r="F93" s="165"/>
      <c r="G93" s="16" t="str">
        <f t="shared" si="6"/>
        <v/>
      </c>
    </row>
    <row r="94" spans="1:7" s="15" customFormat="1" x14ac:dyDescent="0.25">
      <c r="A94" s="122">
        <f t="shared" si="5"/>
        <v>70</v>
      </c>
      <c r="B94" s="165">
        <v>0</v>
      </c>
      <c r="C94" s="181"/>
      <c r="D94" s="182"/>
      <c r="E94" s="182"/>
      <c r="F94" s="165"/>
      <c r="G94" s="16" t="str">
        <f t="shared" si="6"/>
        <v/>
      </c>
    </row>
    <row r="95" spans="1:7" s="15" customFormat="1" x14ac:dyDescent="0.25">
      <c r="A95" s="122">
        <f t="shared" si="5"/>
        <v>71</v>
      </c>
      <c r="B95" s="165">
        <v>0</v>
      </c>
      <c r="C95" s="181"/>
      <c r="D95" s="182"/>
      <c r="E95" s="182"/>
      <c r="F95" s="165"/>
      <c r="G95" s="16" t="str">
        <f t="shared" si="6"/>
        <v/>
      </c>
    </row>
    <row r="96" spans="1:7" s="15" customFormat="1" x14ac:dyDescent="0.25">
      <c r="A96" s="122">
        <f t="shared" si="5"/>
        <v>72</v>
      </c>
      <c r="B96" s="165">
        <v>0</v>
      </c>
      <c r="C96" s="181"/>
      <c r="D96" s="182"/>
      <c r="E96" s="182"/>
      <c r="F96" s="165"/>
      <c r="G96" s="16" t="str">
        <f t="shared" si="6"/>
        <v/>
      </c>
    </row>
    <row r="97" spans="1:7" s="15" customFormat="1" x14ac:dyDescent="0.25">
      <c r="A97" s="122">
        <f t="shared" si="5"/>
        <v>73</v>
      </c>
      <c r="B97" s="165">
        <v>0</v>
      </c>
      <c r="C97" s="181"/>
      <c r="D97" s="182"/>
      <c r="E97" s="182"/>
      <c r="F97" s="165"/>
      <c r="G97" s="16" t="str">
        <f t="shared" si="6"/>
        <v/>
      </c>
    </row>
    <row r="98" spans="1:7" s="15" customFormat="1" x14ac:dyDescent="0.25">
      <c r="A98" s="122">
        <f t="shared" si="5"/>
        <v>74</v>
      </c>
      <c r="B98" s="165">
        <v>0</v>
      </c>
      <c r="C98" s="181"/>
      <c r="D98" s="182"/>
      <c r="E98" s="182"/>
      <c r="F98" s="165"/>
      <c r="G98" s="16" t="str">
        <f t="shared" si="6"/>
        <v/>
      </c>
    </row>
    <row r="99" spans="1:7" s="15" customFormat="1" x14ac:dyDescent="0.25">
      <c r="A99" s="122">
        <f t="shared" si="5"/>
        <v>75</v>
      </c>
      <c r="B99" s="165">
        <v>0</v>
      </c>
      <c r="C99" s="181"/>
      <c r="D99" s="182"/>
      <c r="E99" s="182"/>
      <c r="F99" s="165"/>
      <c r="G99" s="16" t="str">
        <f t="shared" si="6"/>
        <v/>
      </c>
    </row>
    <row r="100" spans="1:7" s="15" customFormat="1" x14ac:dyDescent="0.25">
      <c r="A100" s="122">
        <f t="shared" si="5"/>
        <v>76</v>
      </c>
      <c r="B100" s="165">
        <v>0</v>
      </c>
      <c r="C100" s="181"/>
      <c r="D100" s="182"/>
      <c r="E100" s="182"/>
      <c r="F100" s="165"/>
      <c r="G100" s="16" t="str">
        <f t="shared" si="6"/>
        <v/>
      </c>
    </row>
    <row r="101" spans="1:7" s="15" customFormat="1" x14ac:dyDescent="0.25">
      <c r="A101" s="122">
        <f t="shared" si="5"/>
        <v>77</v>
      </c>
      <c r="B101" s="165">
        <v>0</v>
      </c>
      <c r="C101" s="181"/>
      <c r="D101" s="182"/>
      <c r="E101" s="182"/>
      <c r="F101" s="165"/>
      <c r="G101" s="16" t="str">
        <f t="shared" si="6"/>
        <v/>
      </c>
    </row>
    <row r="102" spans="1:7" s="15" customFormat="1" x14ac:dyDescent="0.25">
      <c r="A102" s="122">
        <f t="shared" si="5"/>
        <v>78</v>
      </c>
      <c r="B102" s="165">
        <v>0</v>
      </c>
      <c r="C102" s="181"/>
      <c r="D102" s="182"/>
      <c r="E102" s="182"/>
      <c r="F102" s="165"/>
      <c r="G102" s="16" t="str">
        <f t="shared" si="6"/>
        <v/>
      </c>
    </row>
    <row r="103" spans="1:7" s="15" customFormat="1" x14ac:dyDescent="0.25">
      <c r="A103" s="122">
        <f t="shared" si="5"/>
        <v>79</v>
      </c>
      <c r="B103" s="165">
        <v>0</v>
      </c>
      <c r="C103" s="181"/>
      <c r="D103" s="182"/>
      <c r="E103" s="182"/>
      <c r="F103" s="165"/>
      <c r="G103" s="16" t="str">
        <f t="shared" si="6"/>
        <v/>
      </c>
    </row>
    <row r="104" spans="1:7" s="15" customFormat="1" x14ac:dyDescent="0.25">
      <c r="A104" s="122">
        <f t="shared" si="5"/>
        <v>80</v>
      </c>
      <c r="B104" s="165">
        <v>0</v>
      </c>
      <c r="C104" s="181"/>
      <c r="D104" s="182"/>
      <c r="E104" s="182"/>
      <c r="F104" s="165"/>
      <c r="G104" s="16" t="str">
        <f t="shared" si="6"/>
        <v/>
      </c>
    </row>
    <row r="105" spans="1:7" s="15" customFormat="1" x14ac:dyDescent="0.25">
      <c r="A105" s="122">
        <f t="shared" si="5"/>
        <v>81</v>
      </c>
      <c r="B105" s="165">
        <v>0</v>
      </c>
      <c r="C105" s="181"/>
      <c r="D105" s="182"/>
      <c r="E105" s="182"/>
      <c r="F105" s="165"/>
      <c r="G105" s="16" t="str">
        <f t="shared" si="6"/>
        <v/>
      </c>
    </row>
    <row r="106" spans="1:7" s="15" customFormat="1" x14ac:dyDescent="0.25">
      <c r="A106" s="122">
        <f t="shared" si="5"/>
        <v>82</v>
      </c>
      <c r="B106" s="165">
        <v>0</v>
      </c>
      <c r="C106" s="181"/>
      <c r="D106" s="182"/>
      <c r="E106" s="182"/>
      <c r="F106" s="165"/>
      <c r="G106" s="16" t="str">
        <f t="shared" si="6"/>
        <v/>
      </c>
    </row>
    <row r="107" spans="1:7" s="15" customFormat="1" x14ac:dyDescent="0.25">
      <c r="A107" s="122">
        <f t="shared" si="5"/>
        <v>83</v>
      </c>
      <c r="B107" s="165">
        <v>0</v>
      </c>
      <c r="C107" s="181"/>
      <c r="D107" s="182"/>
      <c r="E107" s="182"/>
      <c r="F107" s="165"/>
      <c r="G107" s="16" t="str">
        <f t="shared" si="6"/>
        <v/>
      </c>
    </row>
    <row r="108" spans="1:7" s="15" customFormat="1" x14ac:dyDescent="0.25">
      <c r="A108" s="122">
        <f t="shared" si="5"/>
        <v>84</v>
      </c>
      <c r="B108" s="165">
        <v>0</v>
      </c>
      <c r="C108" s="181"/>
      <c r="D108" s="182"/>
      <c r="E108" s="182"/>
      <c r="F108" s="165"/>
      <c r="G108" s="16" t="str">
        <f t="shared" si="6"/>
        <v/>
      </c>
    </row>
    <row r="109" spans="1:7" s="15" customFormat="1" x14ac:dyDescent="0.25">
      <c r="A109" s="122">
        <f t="shared" si="5"/>
        <v>85</v>
      </c>
      <c r="B109" s="165">
        <v>0</v>
      </c>
      <c r="C109" s="181"/>
      <c r="D109" s="182"/>
      <c r="E109" s="182"/>
      <c r="F109" s="165"/>
      <c r="G109" s="16" t="str">
        <f t="shared" si="6"/>
        <v/>
      </c>
    </row>
    <row r="110" spans="1:7" s="15" customFormat="1" x14ac:dyDescent="0.25">
      <c r="A110" s="122">
        <f t="shared" si="5"/>
        <v>86</v>
      </c>
      <c r="B110" s="165">
        <v>0</v>
      </c>
      <c r="C110" s="181"/>
      <c r="D110" s="182"/>
      <c r="E110" s="182"/>
      <c r="F110" s="165"/>
      <c r="G110" s="16" t="str">
        <f t="shared" si="6"/>
        <v/>
      </c>
    </row>
    <row r="111" spans="1:7" s="15" customFormat="1" x14ac:dyDescent="0.25">
      <c r="A111" s="122">
        <f t="shared" si="5"/>
        <v>87</v>
      </c>
      <c r="B111" s="165">
        <v>0</v>
      </c>
      <c r="C111" s="181"/>
      <c r="D111" s="182"/>
      <c r="E111" s="182"/>
      <c r="F111" s="165"/>
      <c r="G111" s="16" t="str">
        <f t="shared" si="6"/>
        <v/>
      </c>
    </row>
    <row r="112" spans="1:7" s="15" customFormat="1" x14ac:dyDescent="0.25">
      <c r="A112" s="122">
        <f t="shared" si="5"/>
        <v>88</v>
      </c>
      <c r="B112" s="165">
        <v>0</v>
      </c>
      <c r="C112" s="181"/>
      <c r="D112" s="182"/>
      <c r="E112" s="182"/>
      <c r="F112" s="165"/>
      <c r="G112" s="16" t="str">
        <f t="shared" si="6"/>
        <v/>
      </c>
    </row>
    <row r="113" spans="1:7" s="15" customFormat="1" x14ac:dyDescent="0.25">
      <c r="A113" s="122">
        <f t="shared" si="5"/>
        <v>89</v>
      </c>
      <c r="B113" s="165">
        <v>0</v>
      </c>
      <c r="C113" s="181"/>
      <c r="D113" s="182"/>
      <c r="E113" s="182"/>
      <c r="F113" s="165"/>
      <c r="G113" s="16" t="str">
        <f t="shared" si="6"/>
        <v/>
      </c>
    </row>
    <row r="114" spans="1:7" s="15" customFormat="1" x14ac:dyDescent="0.25">
      <c r="A114" s="122">
        <f t="shared" si="5"/>
        <v>90</v>
      </c>
      <c r="B114" s="165">
        <v>0</v>
      </c>
      <c r="C114" s="181"/>
      <c r="D114" s="182"/>
      <c r="E114" s="182"/>
      <c r="F114" s="165"/>
      <c r="G114" s="16" t="str">
        <f t="shared" si="6"/>
        <v/>
      </c>
    </row>
    <row r="115" spans="1:7" s="15" customFormat="1" x14ac:dyDescent="0.25">
      <c r="A115" s="122">
        <f t="shared" si="5"/>
        <v>91</v>
      </c>
      <c r="B115" s="165">
        <v>0</v>
      </c>
      <c r="C115" s="181"/>
      <c r="D115" s="182"/>
      <c r="E115" s="182"/>
      <c r="F115" s="165"/>
      <c r="G115" s="16" t="str">
        <f t="shared" si="6"/>
        <v/>
      </c>
    </row>
    <row r="116" spans="1:7" s="15" customFormat="1" x14ac:dyDescent="0.25">
      <c r="A116" s="122">
        <f t="shared" si="5"/>
        <v>92</v>
      </c>
      <c r="B116" s="165">
        <v>0</v>
      </c>
      <c r="C116" s="181"/>
      <c r="D116" s="182"/>
      <c r="E116" s="182"/>
      <c r="F116" s="165"/>
      <c r="G116" s="16" t="str">
        <f t="shared" si="6"/>
        <v/>
      </c>
    </row>
    <row r="117" spans="1:7" s="15" customFormat="1" x14ac:dyDescent="0.25">
      <c r="A117" s="122">
        <f t="shared" si="5"/>
        <v>93</v>
      </c>
      <c r="B117" s="165">
        <v>0</v>
      </c>
      <c r="C117" s="181"/>
      <c r="D117" s="182"/>
      <c r="E117" s="182"/>
      <c r="F117" s="165"/>
      <c r="G117" s="16" t="str">
        <f t="shared" si="6"/>
        <v/>
      </c>
    </row>
    <row r="118" spans="1:7" s="15" customFormat="1" x14ac:dyDescent="0.25">
      <c r="A118" s="122">
        <f t="shared" si="5"/>
        <v>94</v>
      </c>
      <c r="B118" s="165">
        <v>0</v>
      </c>
      <c r="C118" s="181"/>
      <c r="D118" s="182"/>
      <c r="E118" s="182"/>
      <c r="F118" s="165"/>
      <c r="G118" s="16" t="str">
        <f t="shared" si="6"/>
        <v/>
      </c>
    </row>
    <row r="119" spans="1:7" s="15" customFormat="1" x14ac:dyDescent="0.25">
      <c r="A119" s="122">
        <f t="shared" si="5"/>
        <v>95</v>
      </c>
      <c r="B119" s="165">
        <v>0</v>
      </c>
      <c r="C119" s="181"/>
      <c r="D119" s="182"/>
      <c r="E119" s="182"/>
      <c r="F119" s="165"/>
      <c r="G119" s="16" t="str">
        <f t="shared" si="6"/>
        <v/>
      </c>
    </row>
    <row r="120" spans="1:7" s="15" customFormat="1" x14ac:dyDescent="0.25">
      <c r="A120" s="122">
        <f t="shared" si="5"/>
        <v>96</v>
      </c>
      <c r="B120" s="165">
        <v>0</v>
      </c>
      <c r="C120" s="181"/>
      <c r="D120" s="182"/>
      <c r="E120" s="182"/>
      <c r="F120" s="165"/>
      <c r="G120" s="16" t="str">
        <f t="shared" si="6"/>
        <v/>
      </c>
    </row>
    <row r="121" spans="1:7" s="15" customFormat="1" x14ac:dyDescent="0.25">
      <c r="A121" s="122">
        <f t="shared" si="5"/>
        <v>97</v>
      </c>
      <c r="B121" s="165">
        <v>0</v>
      </c>
      <c r="C121" s="181"/>
      <c r="D121" s="182"/>
      <c r="E121" s="182"/>
      <c r="F121" s="165"/>
      <c r="G121" s="16" t="str">
        <f t="shared" ref="G121:G124" si="7">IF(AND(B121&lt;&gt;0,VFLAW_SURF_ARdefault="no"),IF(SUM(C121:F121)=100,"","Sum must equal 100%"),"")</f>
        <v/>
      </c>
    </row>
    <row r="122" spans="1:7" s="15" customFormat="1" x14ac:dyDescent="0.25">
      <c r="A122" s="122">
        <f t="shared" si="5"/>
        <v>98</v>
      </c>
      <c r="B122" s="165">
        <v>0</v>
      </c>
      <c r="C122" s="181"/>
      <c r="D122" s="182"/>
      <c r="E122" s="182"/>
      <c r="F122" s="165"/>
      <c r="G122" s="16" t="str">
        <f t="shared" si="7"/>
        <v/>
      </c>
    </row>
    <row r="123" spans="1:7" s="15" customFormat="1" x14ac:dyDescent="0.25">
      <c r="A123" s="122">
        <f t="shared" si="5"/>
        <v>99</v>
      </c>
      <c r="B123" s="165">
        <v>0</v>
      </c>
      <c r="C123" s="181"/>
      <c r="D123" s="182"/>
      <c r="E123" s="182"/>
      <c r="F123" s="165"/>
      <c r="G123" s="16" t="str">
        <f t="shared" si="7"/>
        <v/>
      </c>
    </row>
    <row r="124" spans="1:7" s="15" customFormat="1" ht="15.75" thickBot="1" x14ac:dyDescent="0.3">
      <c r="A124" s="122">
        <f t="shared" si="5"/>
        <v>100</v>
      </c>
      <c r="B124" s="165">
        <v>0</v>
      </c>
      <c r="C124" s="183"/>
      <c r="D124" s="184"/>
      <c r="E124" s="184"/>
      <c r="F124" s="185"/>
      <c r="G124" s="16" t="str">
        <f t="shared" si="7"/>
        <v/>
      </c>
    </row>
    <row r="125" spans="1:7" x14ac:dyDescent="0.25"/>
  </sheetData>
  <sheetProtection sheet="1" objects="1" scenarios="1"/>
  <dataValidations count="3">
    <dataValidation type="list" allowBlank="1" showInputMessage="1" showErrorMessage="1" sqref="C7:C10" xr:uid="{00000000-0002-0000-0A00-000000000000}">
      <formula1>"mm,cm,m,in,ft"</formula1>
    </dataValidation>
    <dataValidation type="whole" allowBlank="1" showInputMessage="1" showErrorMessage="1" sqref="B12" xr:uid="{00000000-0002-0000-0A00-000001000000}">
      <formula1>1</formula1>
      <formula2>100</formula2>
    </dataValidation>
    <dataValidation type="list" allowBlank="1" showInputMessage="1" showErrorMessage="1" sqref="B15" xr:uid="{00000000-0002-0000-0A00-000002000000}">
      <formula1>"no,yes"</formula1>
    </dataValidation>
  </dataValidation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VFLAW_Weld">
    <tabColor theme="7" tint="0.39997558519241921"/>
  </sheetPr>
  <dimension ref="A1:N132"/>
  <sheetViews>
    <sheetView workbookViewId="0"/>
  </sheetViews>
  <sheetFormatPr defaultColWidth="0" defaultRowHeight="15" customHeight="1" zeroHeight="1" x14ac:dyDescent="0.25"/>
  <cols>
    <col min="1" max="1" width="36.85546875" style="123" customWidth="1"/>
    <col min="2" max="6" width="27.140625" style="113" customWidth="1"/>
    <col min="7" max="13" width="27.140625" style="58" customWidth="1"/>
    <col min="14" max="16384" width="4.28515625" style="58" hidden="1"/>
  </cols>
  <sheetData>
    <row r="1" spans="1:10" s="15" customFormat="1" x14ac:dyDescent="0.25">
      <c r="A1" s="14" t="s">
        <v>9</v>
      </c>
      <c r="B1" s="18"/>
      <c r="C1" s="18"/>
      <c r="D1" s="19" t="s">
        <v>128</v>
      </c>
      <c r="E1" s="20"/>
      <c r="F1" s="20"/>
      <c r="G1" s="20"/>
      <c r="H1" s="20"/>
      <c r="I1" s="20"/>
      <c r="J1" s="20"/>
    </row>
    <row r="2" spans="1:10" s="15" customFormat="1" x14ac:dyDescent="0.25">
      <c r="A2" s="1" t="s">
        <v>129</v>
      </c>
      <c r="B2" s="4" t="s">
        <v>139</v>
      </c>
      <c r="C2" s="18"/>
      <c r="D2" s="19"/>
      <c r="E2" s="20"/>
      <c r="F2" s="20"/>
      <c r="G2" s="20"/>
      <c r="H2" s="20"/>
      <c r="I2" s="20"/>
      <c r="J2" s="20"/>
    </row>
    <row r="3" spans="1:10" s="15" customFormat="1" x14ac:dyDescent="0.25">
      <c r="A3" s="1" t="s">
        <v>130</v>
      </c>
      <c r="B3" s="154" t="str">
        <f>VFLAWweldCase&amp;".dat"</f>
        <v>VFLAWweld.dat</v>
      </c>
      <c r="C3" s="18"/>
      <c r="D3" s="19"/>
      <c r="E3" s="20"/>
      <c r="F3" s="20"/>
      <c r="G3" s="20"/>
      <c r="H3" s="20"/>
      <c r="I3" s="20"/>
      <c r="J3" s="20"/>
    </row>
    <row r="4" spans="1:10" s="15" customFormat="1" x14ac:dyDescent="0.25">
      <c r="A4" s="1"/>
      <c r="B4" s="114"/>
      <c r="C4" s="18"/>
      <c r="D4" s="19"/>
      <c r="E4" s="20"/>
      <c r="F4" s="20"/>
      <c r="G4" s="20"/>
      <c r="H4" s="20"/>
      <c r="I4" s="20"/>
      <c r="J4" s="20"/>
    </row>
    <row r="5" spans="1:10" s="15" customFormat="1" x14ac:dyDescent="0.25">
      <c r="A5" s="14" t="str">
        <f>IF(VFLAW_WELD_OPT="Just One","Flaw distribution for single flaw depth",IF(VFLAW_WELD_OPT="Several","Flaw distribution for several flaw depths","Do not fill this sheet"))</f>
        <v>Flaw distribution for several flaw depths</v>
      </c>
      <c r="B5" s="18"/>
      <c r="F5" s="20"/>
      <c r="G5" s="20"/>
    </row>
    <row r="6" spans="1:10" s="15" customFormat="1" x14ac:dyDescent="0.25">
      <c r="A6" s="16" t="str">
        <f>IF(VFLAW_WELD_OPT="None","",IF(VFLAW_WELD_OPT="Just One","NOTE: All surface flaws assumed to have the same depth","NOTE: Please fill table below"))</f>
        <v>NOTE: Please fill table below</v>
      </c>
      <c r="B6" s="114"/>
      <c r="E6" s="20" t="s">
        <v>138</v>
      </c>
      <c r="F6" s="20"/>
      <c r="G6" s="20"/>
    </row>
    <row r="7" spans="1:10" s="15" customFormat="1" x14ac:dyDescent="0.25">
      <c r="A7" s="1" t="str">
        <f>IF(VFLAW_WELD_OPT="None","","Vessel Internal Radius")</f>
        <v>Vessel Internal Radius</v>
      </c>
      <c r="B7" s="158">
        <v>86</v>
      </c>
      <c r="C7" s="23" t="s">
        <v>33</v>
      </c>
      <c r="D7" s="16" t="str">
        <f>IF(VFLAW_WELD_OPT="None","","Should match FAVLoad input")</f>
        <v>Should match FAVLoad input</v>
      </c>
      <c r="E7" s="20" t="s">
        <v>131</v>
      </c>
      <c r="F7" s="159">
        <f>ROUND(IF(C7="mm",B7/25.4,IF(C7="in",B7,IF(C7="m",B7*(100/2.54),IF(C7="cm",B7/2.54,B7*12)))),3)</f>
        <v>86</v>
      </c>
      <c r="G7" s="20" t="s">
        <v>33</v>
      </c>
    </row>
    <row r="8" spans="1:10" s="15" customFormat="1" x14ac:dyDescent="0.25">
      <c r="A8" s="1" t="str">
        <f>IF(VFLAW_WELD_OPT="None","","Vessel Wall Thickness")</f>
        <v>Vessel Wall Thickness</v>
      </c>
      <c r="B8" s="158">
        <v>8.75</v>
      </c>
      <c r="C8" s="23" t="s">
        <v>33</v>
      </c>
      <c r="D8" s="16" t="str">
        <f>IF(VFLAW_WELD_OPT="None","","Should match FAVLoad input")</f>
        <v>Should match FAVLoad input</v>
      </c>
      <c r="E8" s="20" t="s">
        <v>132</v>
      </c>
      <c r="F8" s="159">
        <f t="shared" ref="F8:F10" si="0">ROUND(IF(C8="mm",B8/25.4,IF(C8="in",B8,IF(C8="m",B8*(100/2.54),IF(C8="cm",B8/2.54,B8*12)))),3)</f>
        <v>8.75</v>
      </c>
      <c r="G8" s="20" t="s">
        <v>33</v>
      </c>
    </row>
    <row r="9" spans="1:10" s="15" customFormat="1" x14ac:dyDescent="0.25">
      <c r="A9" s="1" t="str">
        <f>IF(VFLAW_WELD_OPT="None","","Vessel Cladding Thickness")</f>
        <v>Vessel Cladding Thickness</v>
      </c>
      <c r="B9" s="158">
        <v>0.25</v>
      </c>
      <c r="C9" s="23" t="s">
        <v>33</v>
      </c>
      <c r="D9" s="16" t="str">
        <f>IF(VFLAW_WELD_OPT="None","","Should match FAVLoad input")</f>
        <v>Should match FAVLoad input</v>
      </c>
      <c r="E9" s="20" t="s">
        <v>133</v>
      </c>
      <c r="F9" s="159">
        <f t="shared" si="0"/>
        <v>0.25</v>
      </c>
      <c r="G9" s="20" t="s">
        <v>33</v>
      </c>
    </row>
    <row r="10" spans="1:10" s="15" customFormat="1" x14ac:dyDescent="0.25">
      <c r="A10" s="1" t="str">
        <f>IF(VFLAW_WELD_OPT="None","","Vessel (or beltline) Height")</f>
        <v>Vessel (or beltline) Height</v>
      </c>
      <c r="B10" s="158">
        <v>156</v>
      </c>
      <c r="C10" s="23" t="s">
        <v>33</v>
      </c>
      <c r="D10" s="16" t="s">
        <v>122</v>
      </c>
      <c r="E10" s="20" t="s">
        <v>134</v>
      </c>
      <c r="F10" s="159">
        <f t="shared" si="0"/>
        <v>156</v>
      </c>
      <c r="G10" s="20" t="s">
        <v>33</v>
      </c>
    </row>
    <row r="11" spans="1:10" s="15" customFormat="1" x14ac:dyDescent="0.25">
      <c r="A11" s="15" t="str">
        <f>IF(VFLAW_WELD_OPT="None","","Total number of flaws per vessel")</f>
        <v>Total number of flaws per vessel</v>
      </c>
      <c r="B11" s="23">
        <v>1</v>
      </c>
      <c r="C11" s="124"/>
      <c r="D11" s="16" t="str">
        <f>IF(VFLAW_WELD_OPT="None","","Should match FAVLoad input")</f>
        <v>Should match FAVLoad input</v>
      </c>
      <c r="E11" s="20" t="s">
        <v>135</v>
      </c>
      <c r="F11" s="20">
        <f>B11</f>
        <v>1</v>
      </c>
      <c r="G11" s="20"/>
    </row>
    <row r="12" spans="1:10" s="15" customFormat="1" x14ac:dyDescent="0.25">
      <c r="A12" s="15" t="str">
        <f>IF(VFLAW_WELD_OPT="Just One","Flaw depth for all weld flaws","")</f>
        <v/>
      </c>
      <c r="B12" s="156">
        <v>5</v>
      </c>
      <c r="C12" s="124" t="s">
        <v>116</v>
      </c>
      <c r="D12" s="16" t="str">
        <f>IF(VFLAW_WELD_OPT="Just One","Only integers","")</f>
        <v/>
      </c>
      <c r="E12" s="20" t="s">
        <v>136</v>
      </c>
      <c r="F12" s="157">
        <f>B12</f>
        <v>5</v>
      </c>
      <c r="G12" s="20" t="s">
        <v>116</v>
      </c>
    </row>
    <row r="13" spans="1:10" s="15" customFormat="1" x14ac:dyDescent="0.25">
      <c r="B13" s="18"/>
    </row>
    <row r="14" spans="1:10" s="15" customFormat="1" x14ac:dyDescent="0.25">
      <c r="A14" s="14" t="str">
        <f>IF(VFLAW_WELD_OPT="Just One","Flaw Aspect Ratio Distribution",IF(VFLAW_WELD_OPT="Several","Flaw distribution for several flaw depths",""))</f>
        <v>Flaw distribution for several flaw depths</v>
      </c>
      <c r="B14" s="18"/>
      <c r="E14" s="20" t="s">
        <v>138</v>
      </c>
    </row>
    <row r="15" spans="1:10" s="15" customFormat="1" x14ac:dyDescent="0.25">
      <c r="A15" s="15" t="str">
        <f>IF(VFLAW_WELD_OPT="None","","Use default distribution?")</f>
        <v>Use default distribution?</v>
      </c>
      <c r="B15" s="4" t="s">
        <v>54</v>
      </c>
      <c r="D15" s="16" t="str">
        <f>IF(ROUND(SUM(B16:B26),4)&lt;&gt;100,"WARNING: sum of aspect ratio distributions must equal 100%","")</f>
        <v/>
      </c>
      <c r="E15" s="20" t="s">
        <v>137</v>
      </c>
      <c r="F15" s="112" t="str">
        <f>$B$15</f>
        <v>yes</v>
      </c>
    </row>
    <row r="16" spans="1:10" s="15" customFormat="1" x14ac:dyDescent="0.25">
      <c r="A16" s="15" t="str">
        <f>IF(AND(VFLAW_WELD_OPT="Just One",VFLAW_WELD_ARdefault="no"),"Percentage of flaws with c/a=1.00-1.25","")</f>
        <v/>
      </c>
      <c r="B16" s="167">
        <v>10</v>
      </c>
      <c r="C16" s="115" t="str">
        <f t="shared" ref="C16:C26" si="1">IF(AND(VFLAW_WELD_OPT="Just One",VFLAW_WELD_ARdefault="no"),"%","")</f>
        <v/>
      </c>
      <c r="D16" s="16" t="str">
        <f t="shared" ref="D16:D26" si="2">IF(AND(VFLAW_WELD_OPT="Just One",VFLAW_WELD_ARdefault="no"),"Fill this line","Do not fill this line")</f>
        <v>Do not fill this line</v>
      </c>
      <c r="E16" s="20" t="s">
        <v>140</v>
      </c>
      <c r="F16" s="157">
        <f t="shared" ref="F16:F25" si="3">IF(VFLAW_WELD_ARdefault="yes",10,B16)</f>
        <v>10</v>
      </c>
      <c r="G16" s="20" t="s">
        <v>116</v>
      </c>
    </row>
    <row r="17" spans="1:14" s="15" customFormat="1" x14ac:dyDescent="0.25">
      <c r="A17" s="15" t="str">
        <f>IF(AND(VFLAW_WELD_OPT="Just One",VFLAW_WELD_ARdefault="no"),"Percentage of flaws with c/a=1.25-1.50","")</f>
        <v/>
      </c>
      <c r="B17" s="167">
        <v>10</v>
      </c>
      <c r="C17" s="115" t="str">
        <f t="shared" si="1"/>
        <v/>
      </c>
      <c r="D17" s="16" t="str">
        <f t="shared" si="2"/>
        <v>Do not fill this line</v>
      </c>
      <c r="E17" s="20" t="s">
        <v>141</v>
      </c>
      <c r="F17" s="157">
        <f t="shared" si="3"/>
        <v>10</v>
      </c>
      <c r="G17" s="20" t="s">
        <v>116</v>
      </c>
    </row>
    <row r="18" spans="1:14" s="15" customFormat="1" x14ac:dyDescent="0.25">
      <c r="A18" s="15" t="str">
        <f>IF(AND(VFLAW_WELD_OPT="Just One",VFLAW_WELD_ARdefault="no"),"Percentage of flaws with c/a=1.50-2.00","")</f>
        <v/>
      </c>
      <c r="B18" s="167">
        <v>10</v>
      </c>
      <c r="C18" s="115" t="str">
        <f t="shared" si="1"/>
        <v/>
      </c>
      <c r="D18" s="16" t="str">
        <f t="shared" si="2"/>
        <v>Do not fill this line</v>
      </c>
      <c r="E18" s="20" t="s">
        <v>149</v>
      </c>
      <c r="F18" s="157">
        <f t="shared" si="3"/>
        <v>10</v>
      </c>
      <c r="G18" s="20" t="s">
        <v>116</v>
      </c>
    </row>
    <row r="19" spans="1:14" s="15" customFormat="1" x14ac:dyDescent="0.25">
      <c r="A19" s="15" t="str">
        <f>IF(AND(VFLAW_WELD_OPT="Just One",VFLAW_WELD_ARdefault="no"),"Percentage of flaws with c/a=2.00-3.00","")</f>
        <v/>
      </c>
      <c r="B19" s="167">
        <v>10</v>
      </c>
      <c r="C19" s="115" t="str">
        <f t="shared" si="1"/>
        <v/>
      </c>
      <c r="D19" s="16" t="str">
        <f t="shared" si="2"/>
        <v>Do not fill this line</v>
      </c>
      <c r="E19" s="20" t="s">
        <v>142</v>
      </c>
      <c r="F19" s="157">
        <f t="shared" si="3"/>
        <v>10</v>
      </c>
      <c r="G19" s="20" t="s">
        <v>116</v>
      </c>
    </row>
    <row r="20" spans="1:14" s="15" customFormat="1" x14ac:dyDescent="0.25">
      <c r="A20" s="15" t="str">
        <f>IF(AND(VFLAW_WELD_OPT="Just One",VFLAW_WELD_ARdefault="no"),"Percentage of flaws with c/a=3.00-4.00","")</f>
        <v/>
      </c>
      <c r="B20" s="167">
        <v>10</v>
      </c>
      <c r="C20" s="115" t="str">
        <f t="shared" si="1"/>
        <v/>
      </c>
      <c r="D20" s="16" t="str">
        <f t="shared" si="2"/>
        <v>Do not fill this line</v>
      </c>
      <c r="E20" s="20" t="s">
        <v>143</v>
      </c>
      <c r="F20" s="157">
        <f t="shared" si="3"/>
        <v>10</v>
      </c>
      <c r="G20" s="20" t="s">
        <v>116</v>
      </c>
    </row>
    <row r="21" spans="1:14" s="15" customFormat="1" x14ac:dyDescent="0.25">
      <c r="A21" s="15" t="str">
        <f>IF(AND(VFLAW_WELD_OPT="Just One",VFLAW_WELD_ARdefault="no"),"Percentage of flaws with c/a=4.00-5.00","")</f>
        <v/>
      </c>
      <c r="B21" s="167">
        <v>10</v>
      </c>
      <c r="C21" s="115" t="str">
        <f t="shared" si="1"/>
        <v/>
      </c>
      <c r="D21" s="16" t="str">
        <f t="shared" si="2"/>
        <v>Do not fill this line</v>
      </c>
      <c r="E21" s="20" t="s">
        <v>144</v>
      </c>
      <c r="F21" s="157">
        <f t="shared" si="3"/>
        <v>10</v>
      </c>
      <c r="G21" s="20" t="s">
        <v>116</v>
      </c>
    </row>
    <row r="22" spans="1:14" s="15" customFormat="1" x14ac:dyDescent="0.25">
      <c r="A22" s="15" t="str">
        <f>IF(AND(VFLAW_WELD_OPT="Just One",VFLAW_WELD_ARdefault="no"),"Percentage of flaws with c/a=5.00-6.00","")</f>
        <v/>
      </c>
      <c r="B22" s="167">
        <v>10</v>
      </c>
      <c r="C22" s="115" t="str">
        <f t="shared" si="1"/>
        <v/>
      </c>
      <c r="D22" s="16" t="str">
        <f t="shared" si="2"/>
        <v>Do not fill this line</v>
      </c>
      <c r="E22" s="20" t="s">
        <v>145</v>
      </c>
      <c r="F22" s="157">
        <f t="shared" si="3"/>
        <v>10</v>
      </c>
      <c r="G22" s="20" t="s">
        <v>116</v>
      </c>
    </row>
    <row r="23" spans="1:14" s="15" customFormat="1" x14ac:dyDescent="0.25">
      <c r="A23" s="15" t="str">
        <f>IF(AND(VFLAW_WELD_OPT="Just One",VFLAW_WELD_ARdefault="no"),"Percentage of flaws with c/a=6.00-8.00","")</f>
        <v/>
      </c>
      <c r="B23" s="167">
        <v>10</v>
      </c>
      <c r="C23" s="115" t="str">
        <f t="shared" si="1"/>
        <v/>
      </c>
      <c r="D23" s="16" t="str">
        <f t="shared" si="2"/>
        <v>Do not fill this line</v>
      </c>
      <c r="E23" s="20" t="s">
        <v>146</v>
      </c>
      <c r="F23" s="157">
        <f t="shared" si="3"/>
        <v>10</v>
      </c>
      <c r="G23" s="20" t="s">
        <v>116</v>
      </c>
    </row>
    <row r="24" spans="1:14" s="15" customFormat="1" x14ac:dyDescent="0.25">
      <c r="A24" s="15" t="str">
        <f>IF(AND(VFLAW_WELD_OPT="Just One",VFLAW_WELD_ARdefault="no"),"Percentage of flaws with c/a=8.00-10.00","")</f>
        <v/>
      </c>
      <c r="B24" s="167">
        <v>10</v>
      </c>
      <c r="C24" s="115" t="str">
        <f t="shared" si="1"/>
        <v/>
      </c>
      <c r="D24" s="16" t="str">
        <f t="shared" si="2"/>
        <v>Do not fill this line</v>
      </c>
      <c r="E24" s="20" t="s">
        <v>147</v>
      </c>
      <c r="F24" s="157">
        <f t="shared" si="3"/>
        <v>10</v>
      </c>
      <c r="G24" s="20" t="s">
        <v>116</v>
      </c>
    </row>
    <row r="25" spans="1:14" s="15" customFormat="1" x14ac:dyDescent="0.25">
      <c r="A25" s="15" t="str">
        <f>IF(AND(VFLAW_WELD_OPT="Just One",VFLAW_WELD_ARdefault="no"),"Percentage of flaws with c/a=10.00-15.00","")</f>
        <v/>
      </c>
      <c r="B25" s="167">
        <v>10</v>
      </c>
      <c r="C25" s="115" t="str">
        <f t="shared" si="1"/>
        <v/>
      </c>
      <c r="D25" s="16" t="str">
        <f t="shared" si="2"/>
        <v>Do not fill this line</v>
      </c>
      <c r="E25" s="20" t="s">
        <v>148</v>
      </c>
      <c r="F25" s="157">
        <f t="shared" si="3"/>
        <v>10</v>
      </c>
      <c r="G25" s="20" t="s">
        <v>116</v>
      </c>
    </row>
    <row r="26" spans="1:14" s="15" customFormat="1" x14ac:dyDescent="0.25">
      <c r="A26" s="15" t="str">
        <f>IF(AND(VFLAW_WELD_OPT="Just One",VFLAW_WELD_ARdefault="no"),"Percentage of flaws with c/a&gt;15.00","")</f>
        <v/>
      </c>
      <c r="B26" s="167">
        <v>0</v>
      </c>
      <c r="C26" s="115" t="str">
        <f t="shared" si="1"/>
        <v/>
      </c>
      <c r="D26" s="16" t="str">
        <f t="shared" si="2"/>
        <v>Do not fill this line</v>
      </c>
      <c r="E26" s="20" t="s">
        <v>150</v>
      </c>
      <c r="F26" s="157">
        <f>IF(VFLAW_WELD_ARdefault="yes",0,B26)</f>
        <v>0</v>
      </c>
      <c r="G26" s="20" t="s">
        <v>116</v>
      </c>
    </row>
    <row r="27" spans="1:14" s="15" customFormat="1" x14ac:dyDescent="0.25">
      <c r="B27" s="18"/>
      <c r="D27" s="116"/>
    </row>
    <row r="28" spans="1:14" s="15" customFormat="1" x14ac:dyDescent="0.25">
      <c r="A28" s="14" t="str">
        <f>IF(VFLAW_WELD_OPT="Several","Flaw distribution for several flaw depths","")</f>
        <v>Flaw distribution for several flaw depths</v>
      </c>
      <c r="B28" s="18"/>
      <c r="D28" s="116"/>
    </row>
    <row r="29" spans="1:14" s="15" customFormat="1" ht="15.75" thickBot="1" x14ac:dyDescent="0.3">
      <c r="A29" s="16" t="str">
        <f>IF(VFLAW_WELD_OPT="Several","Fill this table","Do not fill this table")</f>
        <v>Fill this table</v>
      </c>
      <c r="B29" s="19" t="str">
        <f>IF(VFLAW_WELD_OPT="Several",IF(SUM(B32:$B$131)=100,"","Sum must equal 100%"),"Do not fill this column")</f>
        <v/>
      </c>
      <c r="C29" s="16" t="str">
        <f t="shared" ref="C29:M29" si="4">IF(AND(VFLAW_WELD_OPT="Several",VFLAW_WELD_ARdefault="no"),"Fill this column","Do not fill this column")</f>
        <v>Do not fill this column</v>
      </c>
      <c r="D29" s="16" t="str">
        <f t="shared" si="4"/>
        <v>Do not fill this column</v>
      </c>
      <c r="E29" s="16" t="str">
        <f t="shared" si="4"/>
        <v>Do not fill this column</v>
      </c>
      <c r="F29" s="16" t="str">
        <f t="shared" si="4"/>
        <v>Do not fill this column</v>
      </c>
      <c r="G29" s="16" t="str">
        <f t="shared" si="4"/>
        <v>Do not fill this column</v>
      </c>
      <c r="H29" s="16" t="str">
        <f t="shared" si="4"/>
        <v>Do not fill this column</v>
      </c>
      <c r="I29" s="16" t="str">
        <f t="shared" si="4"/>
        <v>Do not fill this column</v>
      </c>
      <c r="J29" s="16" t="str">
        <f t="shared" si="4"/>
        <v>Do not fill this column</v>
      </c>
      <c r="K29" s="16" t="str">
        <f t="shared" si="4"/>
        <v>Do not fill this column</v>
      </c>
      <c r="L29" s="16" t="str">
        <f t="shared" si="4"/>
        <v>Do not fill this column</v>
      </c>
      <c r="M29" s="16" t="str">
        <f t="shared" si="4"/>
        <v>Do not fill this column</v>
      </c>
    </row>
    <row r="30" spans="1:14" s="118" customFormat="1" ht="30.75" customHeight="1" x14ac:dyDescent="0.25">
      <c r="A30" s="117" t="str">
        <f>IF(VFLAW_WELD_OPT="Several","Flaw Depth","")</f>
        <v>Flaw Depth</v>
      </c>
      <c r="B30" s="110" t="str">
        <f>IF(VFLAW_WELD_OPT="Several","Percentage of flaws at given depth","")</f>
        <v>Percentage of flaws at given depth</v>
      </c>
      <c r="C30" s="117" t="str">
        <f>IF(AND(VFLAW_WELD_OPT="Several",VFLAW_WELD_ARdefault="no"),"c/a=1.00-1.25","")</f>
        <v/>
      </c>
      <c r="D30" s="111" t="str">
        <f>IF(AND(VFLAW_WELD_OPT="Several",VFLAW_WELD_ARdefault="no"),"c/a=1.25-1.50","")</f>
        <v/>
      </c>
      <c r="E30" s="111" t="str">
        <f>IF(AND(VFLAW_WELD_OPT="Several",VFLAW_WELD_ARdefault="no"),"c/a=1.50-2.00","")</f>
        <v/>
      </c>
      <c r="F30" s="111" t="str">
        <f>IF(AND(VFLAW_WELD_OPT="Several",VFLAW_WELD_ARdefault="no"),"c/a=2.00-3.00","")</f>
        <v/>
      </c>
      <c r="G30" s="111" t="str">
        <f>IF(AND(VFLAW_WELD_OPT="Several",VFLAW_WELD_ARdefault="no"),"c/a=3.00-4.00","")</f>
        <v/>
      </c>
      <c r="H30" s="111" t="str">
        <f>IF(AND(VFLAW_WELD_OPT="Several",VFLAW_WELD_ARdefault="no"),"c/a=4.00-5.00","")</f>
        <v/>
      </c>
      <c r="I30" s="111" t="str">
        <f>IF(AND(VFLAW_WELD_OPT="Several",VFLAW_WELD_ARdefault="no"),"c/a=5.00-6.00","")</f>
        <v/>
      </c>
      <c r="J30" s="111" t="str">
        <f>IF(AND(VFLAW_WELD_OPT="Several",VFLAW_WELD_ARdefault="no"),"c/a=6.00-8.00","")</f>
        <v/>
      </c>
      <c r="K30" s="111" t="str">
        <f>IF(AND(VFLAW_WELD_OPT="Several",VFLAW_WELD_ARdefault="no"),"c/a=8.00-10.00","")</f>
        <v/>
      </c>
      <c r="L30" s="111" t="str">
        <f>IF(AND(VFLAW_WELD_OPT="Several",VFLAW_WELD_ARdefault="no"),"c/a=10.00-15.00","")</f>
        <v/>
      </c>
      <c r="M30" s="110" t="str">
        <f>IF(AND(VFLAW_WELD_OPT="Several",VFLAW_WELD_ARdefault="no"),"c/a&gt;15.00","")</f>
        <v/>
      </c>
    </row>
    <row r="31" spans="1:14" s="15" customFormat="1" ht="15.75" thickBot="1" x14ac:dyDescent="0.3">
      <c r="A31" s="119" t="str">
        <f>IF(VFLAW_WELD_OPT="Several","%","")</f>
        <v>%</v>
      </c>
      <c r="B31" s="120" t="str">
        <f>IF(VFLAW_WELD_OPT="Several","%","")</f>
        <v>%</v>
      </c>
      <c r="C31" s="119" t="str">
        <f t="shared" ref="C31:M31" si="5">IF(AND(VFLAW_WELD_OPT="Several",VFLAW_WELD_ARdefault="no"),"%","")</f>
        <v/>
      </c>
      <c r="D31" s="121" t="str">
        <f t="shared" si="5"/>
        <v/>
      </c>
      <c r="E31" s="121" t="str">
        <f t="shared" si="5"/>
        <v/>
      </c>
      <c r="F31" s="121" t="str">
        <f t="shared" si="5"/>
        <v/>
      </c>
      <c r="G31" s="121" t="str">
        <f t="shared" si="5"/>
        <v/>
      </c>
      <c r="H31" s="121" t="str">
        <f t="shared" si="5"/>
        <v/>
      </c>
      <c r="I31" s="121" t="str">
        <f t="shared" si="5"/>
        <v/>
      </c>
      <c r="J31" s="121" t="str">
        <f t="shared" si="5"/>
        <v/>
      </c>
      <c r="K31" s="121" t="str">
        <f t="shared" si="5"/>
        <v/>
      </c>
      <c r="L31" s="121" t="str">
        <f t="shared" si="5"/>
        <v/>
      </c>
      <c r="M31" s="120" t="str">
        <f t="shared" si="5"/>
        <v/>
      </c>
    </row>
    <row r="32" spans="1:14" s="15" customFormat="1" x14ac:dyDescent="0.25">
      <c r="A32" s="122">
        <f t="shared" ref="A32:A63" si="6">IF(VFLAW_WELD_OPT="Several",IF(A31="%",1,A31+1),"")</f>
        <v>1</v>
      </c>
      <c r="B32" s="165">
        <v>5</v>
      </c>
      <c r="C32" s="181">
        <v>10</v>
      </c>
      <c r="D32" s="182">
        <v>10</v>
      </c>
      <c r="E32" s="182">
        <v>10</v>
      </c>
      <c r="F32" s="182">
        <v>10</v>
      </c>
      <c r="G32" s="182">
        <v>10</v>
      </c>
      <c r="H32" s="182">
        <v>10</v>
      </c>
      <c r="I32" s="182">
        <v>10</v>
      </c>
      <c r="J32" s="182">
        <v>10</v>
      </c>
      <c r="K32" s="182">
        <v>10</v>
      </c>
      <c r="L32" s="182">
        <v>10</v>
      </c>
      <c r="M32" s="165">
        <v>0</v>
      </c>
      <c r="N32" s="16" t="str">
        <f t="shared" ref="N32:N63" si="7">IF(AND(B32&lt;&gt;0,VFLAW_WELD_ARdefault="no"),IF(SUM(C32:M32)=100,"","Sum must equal 100%"),"")</f>
        <v/>
      </c>
    </row>
    <row r="33" spans="1:14" s="15" customFormat="1" x14ac:dyDescent="0.25">
      <c r="A33" s="122">
        <f t="shared" si="6"/>
        <v>2</v>
      </c>
      <c r="B33" s="165">
        <v>2.5</v>
      </c>
      <c r="C33" s="181">
        <v>10</v>
      </c>
      <c r="D33" s="182">
        <v>10</v>
      </c>
      <c r="E33" s="182">
        <v>10</v>
      </c>
      <c r="F33" s="182">
        <v>10</v>
      </c>
      <c r="G33" s="182">
        <v>10</v>
      </c>
      <c r="H33" s="182">
        <v>10</v>
      </c>
      <c r="I33" s="182">
        <v>10</v>
      </c>
      <c r="J33" s="182">
        <v>10</v>
      </c>
      <c r="K33" s="182">
        <v>10</v>
      </c>
      <c r="L33" s="182">
        <v>10</v>
      </c>
      <c r="M33" s="165">
        <v>0</v>
      </c>
      <c r="N33" s="16" t="str">
        <f t="shared" si="7"/>
        <v/>
      </c>
    </row>
    <row r="34" spans="1:14" s="15" customFormat="1" x14ac:dyDescent="0.25">
      <c r="A34" s="122">
        <f t="shared" si="6"/>
        <v>3</v>
      </c>
      <c r="B34" s="165">
        <v>1.25</v>
      </c>
      <c r="C34" s="181">
        <v>10</v>
      </c>
      <c r="D34" s="182">
        <v>10</v>
      </c>
      <c r="E34" s="182">
        <v>10</v>
      </c>
      <c r="F34" s="182">
        <v>10</v>
      </c>
      <c r="G34" s="182">
        <v>10</v>
      </c>
      <c r="H34" s="182">
        <v>10</v>
      </c>
      <c r="I34" s="182">
        <v>10</v>
      </c>
      <c r="J34" s="182">
        <v>10</v>
      </c>
      <c r="K34" s="182">
        <v>10</v>
      </c>
      <c r="L34" s="182">
        <v>10</v>
      </c>
      <c r="M34" s="165">
        <v>0</v>
      </c>
      <c r="N34" s="16" t="str">
        <f t="shared" si="7"/>
        <v/>
      </c>
    </row>
    <row r="35" spans="1:14" s="15" customFormat="1" x14ac:dyDescent="0.25">
      <c r="A35" s="122">
        <f t="shared" si="6"/>
        <v>4</v>
      </c>
      <c r="B35" s="165">
        <v>0.625</v>
      </c>
      <c r="C35" s="181">
        <v>10</v>
      </c>
      <c r="D35" s="182">
        <v>10</v>
      </c>
      <c r="E35" s="182">
        <v>10</v>
      </c>
      <c r="F35" s="182">
        <v>10</v>
      </c>
      <c r="G35" s="182">
        <v>10</v>
      </c>
      <c r="H35" s="182">
        <v>10</v>
      </c>
      <c r="I35" s="182">
        <v>10</v>
      </c>
      <c r="J35" s="182">
        <v>10</v>
      </c>
      <c r="K35" s="182">
        <v>10</v>
      </c>
      <c r="L35" s="182">
        <v>10</v>
      </c>
      <c r="M35" s="165">
        <v>0</v>
      </c>
      <c r="N35" s="16" t="str">
        <f t="shared" si="7"/>
        <v/>
      </c>
    </row>
    <row r="36" spans="1:14" s="15" customFormat="1" x14ac:dyDescent="0.25">
      <c r="A36" s="122">
        <f t="shared" si="6"/>
        <v>5</v>
      </c>
      <c r="B36" s="165">
        <v>0.3125</v>
      </c>
      <c r="C36" s="181">
        <v>10</v>
      </c>
      <c r="D36" s="182">
        <v>10</v>
      </c>
      <c r="E36" s="182">
        <v>10</v>
      </c>
      <c r="F36" s="182">
        <v>10</v>
      </c>
      <c r="G36" s="182">
        <v>10</v>
      </c>
      <c r="H36" s="182">
        <v>10</v>
      </c>
      <c r="I36" s="182">
        <v>10</v>
      </c>
      <c r="J36" s="182">
        <v>10</v>
      </c>
      <c r="K36" s="182">
        <v>10</v>
      </c>
      <c r="L36" s="182">
        <v>10</v>
      </c>
      <c r="M36" s="165">
        <v>0</v>
      </c>
      <c r="N36" s="16" t="str">
        <f t="shared" si="7"/>
        <v/>
      </c>
    </row>
    <row r="37" spans="1:14" s="15" customFormat="1" x14ac:dyDescent="0.25">
      <c r="A37" s="122">
        <f t="shared" si="6"/>
        <v>6</v>
      </c>
      <c r="B37" s="165">
        <v>0.15625</v>
      </c>
      <c r="C37" s="181">
        <v>10</v>
      </c>
      <c r="D37" s="182">
        <v>10</v>
      </c>
      <c r="E37" s="182">
        <v>10</v>
      </c>
      <c r="F37" s="182">
        <v>10</v>
      </c>
      <c r="G37" s="182">
        <v>10</v>
      </c>
      <c r="H37" s="182">
        <v>10</v>
      </c>
      <c r="I37" s="182">
        <v>10</v>
      </c>
      <c r="J37" s="182">
        <v>10</v>
      </c>
      <c r="K37" s="182">
        <v>10</v>
      </c>
      <c r="L37" s="182">
        <v>10</v>
      </c>
      <c r="M37" s="165">
        <v>0</v>
      </c>
      <c r="N37" s="16" t="str">
        <f t="shared" si="7"/>
        <v/>
      </c>
    </row>
    <row r="38" spans="1:14" s="15" customFormat="1" x14ac:dyDescent="0.25">
      <c r="A38" s="122">
        <f t="shared" si="6"/>
        <v>7</v>
      </c>
      <c r="B38" s="165">
        <v>7.8125E-2</v>
      </c>
      <c r="C38" s="181">
        <v>10</v>
      </c>
      <c r="D38" s="182">
        <v>10</v>
      </c>
      <c r="E38" s="182">
        <v>10</v>
      </c>
      <c r="F38" s="182">
        <v>10</v>
      </c>
      <c r="G38" s="182">
        <v>10</v>
      </c>
      <c r="H38" s="182">
        <v>10</v>
      </c>
      <c r="I38" s="182">
        <v>10</v>
      </c>
      <c r="J38" s="182">
        <v>10</v>
      </c>
      <c r="K38" s="182">
        <v>10</v>
      </c>
      <c r="L38" s="182">
        <v>10</v>
      </c>
      <c r="M38" s="165">
        <v>0</v>
      </c>
      <c r="N38" s="16" t="str">
        <f t="shared" si="7"/>
        <v/>
      </c>
    </row>
    <row r="39" spans="1:14" s="15" customFormat="1" x14ac:dyDescent="0.25">
      <c r="A39" s="122">
        <f t="shared" si="6"/>
        <v>8</v>
      </c>
      <c r="B39" s="165">
        <v>3.90625E-2</v>
      </c>
      <c r="C39" s="181">
        <v>10</v>
      </c>
      <c r="D39" s="182">
        <v>10</v>
      </c>
      <c r="E39" s="182">
        <v>10</v>
      </c>
      <c r="F39" s="182">
        <v>10</v>
      </c>
      <c r="G39" s="182">
        <v>10</v>
      </c>
      <c r="H39" s="182">
        <v>10</v>
      </c>
      <c r="I39" s="182">
        <v>10</v>
      </c>
      <c r="J39" s="182">
        <v>10</v>
      </c>
      <c r="K39" s="182">
        <v>10</v>
      </c>
      <c r="L39" s="182">
        <v>10</v>
      </c>
      <c r="M39" s="165">
        <v>0</v>
      </c>
      <c r="N39" s="16" t="str">
        <f t="shared" si="7"/>
        <v/>
      </c>
    </row>
    <row r="40" spans="1:14" s="15" customFormat="1" x14ac:dyDescent="0.25">
      <c r="A40" s="122">
        <f t="shared" si="6"/>
        <v>9</v>
      </c>
      <c r="B40" s="165">
        <v>1.953125E-2</v>
      </c>
      <c r="C40" s="181">
        <v>10</v>
      </c>
      <c r="D40" s="182">
        <v>10</v>
      </c>
      <c r="E40" s="182">
        <v>10</v>
      </c>
      <c r="F40" s="182">
        <v>10</v>
      </c>
      <c r="G40" s="182">
        <v>10</v>
      </c>
      <c r="H40" s="182">
        <v>10</v>
      </c>
      <c r="I40" s="182">
        <v>10</v>
      </c>
      <c r="J40" s="182">
        <v>10</v>
      </c>
      <c r="K40" s="182">
        <v>10</v>
      </c>
      <c r="L40" s="182">
        <v>10</v>
      </c>
      <c r="M40" s="165">
        <v>0</v>
      </c>
      <c r="N40" s="16" t="str">
        <f t="shared" si="7"/>
        <v/>
      </c>
    </row>
    <row r="41" spans="1:14" s="15" customFormat="1" x14ac:dyDescent="0.25">
      <c r="A41" s="122">
        <f t="shared" si="6"/>
        <v>10</v>
      </c>
      <c r="B41" s="165">
        <v>1.953125E-2</v>
      </c>
      <c r="C41" s="181">
        <v>10</v>
      </c>
      <c r="D41" s="182">
        <v>10</v>
      </c>
      <c r="E41" s="182">
        <v>10</v>
      </c>
      <c r="F41" s="182">
        <v>10</v>
      </c>
      <c r="G41" s="182">
        <v>10</v>
      </c>
      <c r="H41" s="182">
        <v>10</v>
      </c>
      <c r="I41" s="182">
        <v>10</v>
      </c>
      <c r="J41" s="182">
        <v>10</v>
      </c>
      <c r="K41" s="182">
        <v>10</v>
      </c>
      <c r="L41" s="182">
        <v>10</v>
      </c>
      <c r="M41" s="165">
        <v>0</v>
      </c>
      <c r="N41" s="16" t="str">
        <f t="shared" si="7"/>
        <v/>
      </c>
    </row>
    <row r="42" spans="1:14" s="15" customFormat="1" x14ac:dyDescent="0.25">
      <c r="A42" s="122">
        <f t="shared" si="6"/>
        <v>11</v>
      </c>
      <c r="B42" s="165">
        <v>5</v>
      </c>
      <c r="C42" s="181">
        <v>10</v>
      </c>
      <c r="D42" s="182">
        <v>10</v>
      </c>
      <c r="E42" s="182">
        <v>10</v>
      </c>
      <c r="F42" s="182">
        <v>10</v>
      </c>
      <c r="G42" s="182">
        <v>10</v>
      </c>
      <c r="H42" s="182">
        <v>10</v>
      </c>
      <c r="I42" s="182">
        <v>10</v>
      </c>
      <c r="J42" s="182">
        <v>10</v>
      </c>
      <c r="K42" s="182">
        <v>10</v>
      </c>
      <c r="L42" s="182">
        <v>10</v>
      </c>
      <c r="M42" s="165">
        <v>0</v>
      </c>
      <c r="N42" s="16" t="str">
        <f t="shared" si="7"/>
        <v/>
      </c>
    </row>
    <row r="43" spans="1:14" s="15" customFormat="1" x14ac:dyDescent="0.25">
      <c r="A43" s="122">
        <f t="shared" si="6"/>
        <v>12</v>
      </c>
      <c r="B43" s="165">
        <v>2.5</v>
      </c>
      <c r="C43" s="181">
        <v>10</v>
      </c>
      <c r="D43" s="182">
        <v>10</v>
      </c>
      <c r="E43" s="182">
        <v>10</v>
      </c>
      <c r="F43" s="182">
        <v>10</v>
      </c>
      <c r="G43" s="182">
        <v>10</v>
      </c>
      <c r="H43" s="182">
        <v>10</v>
      </c>
      <c r="I43" s="182">
        <v>10</v>
      </c>
      <c r="J43" s="182">
        <v>10</v>
      </c>
      <c r="K43" s="182">
        <v>10</v>
      </c>
      <c r="L43" s="182">
        <v>10</v>
      </c>
      <c r="M43" s="165">
        <v>0</v>
      </c>
      <c r="N43" s="16" t="str">
        <f t="shared" si="7"/>
        <v/>
      </c>
    </row>
    <row r="44" spans="1:14" s="15" customFormat="1" x14ac:dyDescent="0.25">
      <c r="A44" s="122">
        <f t="shared" si="6"/>
        <v>13</v>
      </c>
      <c r="B44" s="165">
        <v>1.25</v>
      </c>
      <c r="C44" s="181">
        <v>10</v>
      </c>
      <c r="D44" s="182">
        <v>10</v>
      </c>
      <c r="E44" s="182">
        <v>10</v>
      </c>
      <c r="F44" s="182">
        <v>10</v>
      </c>
      <c r="G44" s="182">
        <v>10</v>
      </c>
      <c r="H44" s="182">
        <v>10</v>
      </c>
      <c r="I44" s="182">
        <v>10</v>
      </c>
      <c r="J44" s="182">
        <v>10</v>
      </c>
      <c r="K44" s="182">
        <v>10</v>
      </c>
      <c r="L44" s="182">
        <v>10</v>
      </c>
      <c r="M44" s="165">
        <v>0</v>
      </c>
      <c r="N44" s="16" t="str">
        <f t="shared" si="7"/>
        <v/>
      </c>
    </row>
    <row r="45" spans="1:14" s="15" customFormat="1" x14ac:dyDescent="0.25">
      <c r="A45" s="122">
        <f t="shared" si="6"/>
        <v>14</v>
      </c>
      <c r="B45" s="165">
        <v>0.625</v>
      </c>
      <c r="C45" s="181">
        <v>10</v>
      </c>
      <c r="D45" s="182">
        <v>10</v>
      </c>
      <c r="E45" s="182">
        <v>10</v>
      </c>
      <c r="F45" s="182">
        <v>10</v>
      </c>
      <c r="G45" s="182">
        <v>10</v>
      </c>
      <c r="H45" s="182">
        <v>10</v>
      </c>
      <c r="I45" s="182">
        <v>10</v>
      </c>
      <c r="J45" s="182">
        <v>10</v>
      </c>
      <c r="K45" s="182">
        <v>10</v>
      </c>
      <c r="L45" s="182">
        <v>10</v>
      </c>
      <c r="M45" s="165">
        <v>0</v>
      </c>
      <c r="N45" s="16" t="str">
        <f t="shared" si="7"/>
        <v/>
      </c>
    </row>
    <row r="46" spans="1:14" s="15" customFormat="1" x14ac:dyDescent="0.25">
      <c r="A46" s="122">
        <f t="shared" si="6"/>
        <v>15</v>
      </c>
      <c r="B46" s="165">
        <v>0.3125</v>
      </c>
      <c r="C46" s="181">
        <v>10</v>
      </c>
      <c r="D46" s="182">
        <v>10</v>
      </c>
      <c r="E46" s="182">
        <v>10</v>
      </c>
      <c r="F46" s="182">
        <v>10</v>
      </c>
      <c r="G46" s="182">
        <v>10</v>
      </c>
      <c r="H46" s="182">
        <v>10</v>
      </c>
      <c r="I46" s="182">
        <v>10</v>
      </c>
      <c r="J46" s="182">
        <v>10</v>
      </c>
      <c r="K46" s="182">
        <v>10</v>
      </c>
      <c r="L46" s="182">
        <v>10</v>
      </c>
      <c r="M46" s="165">
        <v>0</v>
      </c>
      <c r="N46" s="16" t="str">
        <f t="shared" si="7"/>
        <v/>
      </c>
    </row>
    <row r="47" spans="1:14" s="15" customFormat="1" x14ac:dyDescent="0.25">
      <c r="A47" s="122">
        <f t="shared" si="6"/>
        <v>16</v>
      </c>
      <c r="B47" s="165">
        <v>0.15625</v>
      </c>
      <c r="C47" s="181">
        <v>10</v>
      </c>
      <c r="D47" s="182">
        <v>10</v>
      </c>
      <c r="E47" s="182">
        <v>10</v>
      </c>
      <c r="F47" s="182">
        <v>10</v>
      </c>
      <c r="G47" s="182">
        <v>10</v>
      </c>
      <c r="H47" s="182">
        <v>10</v>
      </c>
      <c r="I47" s="182">
        <v>10</v>
      </c>
      <c r="J47" s="182">
        <v>10</v>
      </c>
      <c r="K47" s="182">
        <v>10</v>
      </c>
      <c r="L47" s="182">
        <v>10</v>
      </c>
      <c r="M47" s="165">
        <v>0</v>
      </c>
      <c r="N47" s="16" t="str">
        <f t="shared" si="7"/>
        <v/>
      </c>
    </row>
    <row r="48" spans="1:14" s="15" customFormat="1" x14ac:dyDescent="0.25">
      <c r="A48" s="122">
        <f t="shared" si="6"/>
        <v>17</v>
      </c>
      <c r="B48" s="165">
        <v>7.8125E-2</v>
      </c>
      <c r="C48" s="181">
        <v>10</v>
      </c>
      <c r="D48" s="182">
        <v>10</v>
      </c>
      <c r="E48" s="182">
        <v>10</v>
      </c>
      <c r="F48" s="182">
        <v>10</v>
      </c>
      <c r="G48" s="182">
        <v>10</v>
      </c>
      <c r="H48" s="182">
        <v>10</v>
      </c>
      <c r="I48" s="182">
        <v>10</v>
      </c>
      <c r="J48" s="182">
        <v>10</v>
      </c>
      <c r="K48" s="182">
        <v>10</v>
      </c>
      <c r="L48" s="182">
        <v>10</v>
      </c>
      <c r="M48" s="165">
        <v>0</v>
      </c>
      <c r="N48" s="16" t="str">
        <f t="shared" si="7"/>
        <v/>
      </c>
    </row>
    <row r="49" spans="1:14" s="15" customFormat="1" x14ac:dyDescent="0.25">
      <c r="A49" s="122">
        <f t="shared" si="6"/>
        <v>18</v>
      </c>
      <c r="B49" s="165">
        <v>3.90625E-2</v>
      </c>
      <c r="C49" s="181">
        <v>10</v>
      </c>
      <c r="D49" s="182">
        <v>10</v>
      </c>
      <c r="E49" s="182">
        <v>10</v>
      </c>
      <c r="F49" s="182">
        <v>10</v>
      </c>
      <c r="G49" s="182">
        <v>10</v>
      </c>
      <c r="H49" s="182">
        <v>10</v>
      </c>
      <c r="I49" s="182">
        <v>10</v>
      </c>
      <c r="J49" s="182">
        <v>10</v>
      </c>
      <c r="K49" s="182">
        <v>10</v>
      </c>
      <c r="L49" s="182">
        <v>10</v>
      </c>
      <c r="M49" s="165">
        <v>0</v>
      </c>
      <c r="N49" s="16" t="str">
        <f t="shared" si="7"/>
        <v/>
      </c>
    </row>
    <row r="50" spans="1:14" s="15" customFormat="1" x14ac:dyDescent="0.25">
      <c r="A50" s="122">
        <f t="shared" si="6"/>
        <v>19</v>
      </c>
      <c r="B50" s="165">
        <v>1.953125E-2</v>
      </c>
      <c r="C50" s="181">
        <v>10</v>
      </c>
      <c r="D50" s="182">
        <v>10</v>
      </c>
      <c r="E50" s="182">
        <v>10</v>
      </c>
      <c r="F50" s="182">
        <v>10</v>
      </c>
      <c r="G50" s="182">
        <v>10</v>
      </c>
      <c r="H50" s="182">
        <v>10</v>
      </c>
      <c r="I50" s="182">
        <v>10</v>
      </c>
      <c r="J50" s="182">
        <v>10</v>
      </c>
      <c r="K50" s="182">
        <v>10</v>
      </c>
      <c r="L50" s="182">
        <v>10</v>
      </c>
      <c r="M50" s="165">
        <v>0</v>
      </c>
      <c r="N50" s="16" t="str">
        <f t="shared" si="7"/>
        <v/>
      </c>
    </row>
    <row r="51" spans="1:14" s="15" customFormat="1" x14ac:dyDescent="0.25">
      <c r="A51" s="122">
        <f t="shared" si="6"/>
        <v>20</v>
      </c>
      <c r="B51" s="165">
        <v>1.953125E-2</v>
      </c>
      <c r="C51" s="181">
        <v>10</v>
      </c>
      <c r="D51" s="182">
        <v>10</v>
      </c>
      <c r="E51" s="182">
        <v>10</v>
      </c>
      <c r="F51" s="182">
        <v>10</v>
      </c>
      <c r="G51" s="182">
        <v>10</v>
      </c>
      <c r="H51" s="182">
        <v>10</v>
      </c>
      <c r="I51" s="182">
        <v>10</v>
      </c>
      <c r="J51" s="182">
        <v>10</v>
      </c>
      <c r="K51" s="182">
        <v>10</v>
      </c>
      <c r="L51" s="182">
        <v>10</v>
      </c>
      <c r="M51" s="165">
        <v>0</v>
      </c>
      <c r="N51" s="16" t="str">
        <f t="shared" si="7"/>
        <v/>
      </c>
    </row>
    <row r="52" spans="1:14" s="15" customFormat="1" x14ac:dyDescent="0.25">
      <c r="A52" s="122">
        <f t="shared" si="6"/>
        <v>21</v>
      </c>
      <c r="B52" s="165">
        <v>5</v>
      </c>
      <c r="C52" s="181">
        <v>10</v>
      </c>
      <c r="D52" s="182">
        <v>10</v>
      </c>
      <c r="E52" s="182">
        <v>10</v>
      </c>
      <c r="F52" s="182">
        <v>10</v>
      </c>
      <c r="G52" s="182">
        <v>10</v>
      </c>
      <c r="H52" s="182">
        <v>10</v>
      </c>
      <c r="I52" s="182">
        <v>10</v>
      </c>
      <c r="J52" s="182">
        <v>10</v>
      </c>
      <c r="K52" s="182">
        <v>10</v>
      </c>
      <c r="L52" s="182">
        <v>10</v>
      </c>
      <c r="M52" s="165">
        <v>0</v>
      </c>
      <c r="N52" s="16" t="str">
        <f t="shared" si="7"/>
        <v/>
      </c>
    </row>
    <row r="53" spans="1:14" s="15" customFormat="1" x14ac:dyDescent="0.25">
      <c r="A53" s="122">
        <f t="shared" si="6"/>
        <v>22</v>
      </c>
      <c r="B53" s="165">
        <v>2.5</v>
      </c>
      <c r="C53" s="181">
        <v>10</v>
      </c>
      <c r="D53" s="182">
        <v>10</v>
      </c>
      <c r="E53" s="182">
        <v>10</v>
      </c>
      <c r="F53" s="182">
        <v>10</v>
      </c>
      <c r="G53" s="182">
        <v>10</v>
      </c>
      <c r="H53" s="182">
        <v>10</v>
      </c>
      <c r="I53" s="182">
        <v>10</v>
      </c>
      <c r="J53" s="182">
        <v>10</v>
      </c>
      <c r="K53" s="182">
        <v>10</v>
      </c>
      <c r="L53" s="182">
        <v>10</v>
      </c>
      <c r="M53" s="165">
        <v>0</v>
      </c>
      <c r="N53" s="16" t="str">
        <f t="shared" si="7"/>
        <v/>
      </c>
    </row>
    <row r="54" spans="1:14" s="15" customFormat="1" x14ac:dyDescent="0.25">
      <c r="A54" s="122">
        <f t="shared" si="6"/>
        <v>23</v>
      </c>
      <c r="B54" s="165">
        <v>1.25</v>
      </c>
      <c r="C54" s="181">
        <v>10</v>
      </c>
      <c r="D54" s="182">
        <v>10</v>
      </c>
      <c r="E54" s="182">
        <v>10</v>
      </c>
      <c r="F54" s="182">
        <v>10</v>
      </c>
      <c r="G54" s="182">
        <v>10</v>
      </c>
      <c r="H54" s="182">
        <v>10</v>
      </c>
      <c r="I54" s="182">
        <v>10</v>
      </c>
      <c r="J54" s="182">
        <v>10</v>
      </c>
      <c r="K54" s="182">
        <v>10</v>
      </c>
      <c r="L54" s="182">
        <v>10</v>
      </c>
      <c r="M54" s="165">
        <v>0</v>
      </c>
      <c r="N54" s="16" t="str">
        <f t="shared" si="7"/>
        <v/>
      </c>
    </row>
    <row r="55" spans="1:14" s="15" customFormat="1" x14ac:dyDescent="0.25">
      <c r="A55" s="122">
        <f t="shared" si="6"/>
        <v>24</v>
      </c>
      <c r="B55" s="165">
        <v>0.625</v>
      </c>
      <c r="C55" s="181">
        <v>10</v>
      </c>
      <c r="D55" s="182">
        <v>10</v>
      </c>
      <c r="E55" s="182">
        <v>10</v>
      </c>
      <c r="F55" s="182">
        <v>10</v>
      </c>
      <c r="G55" s="182">
        <v>10</v>
      </c>
      <c r="H55" s="182">
        <v>10</v>
      </c>
      <c r="I55" s="182">
        <v>10</v>
      </c>
      <c r="J55" s="182">
        <v>10</v>
      </c>
      <c r="K55" s="182">
        <v>10</v>
      </c>
      <c r="L55" s="182">
        <v>10</v>
      </c>
      <c r="M55" s="165">
        <v>0</v>
      </c>
      <c r="N55" s="16" t="str">
        <f t="shared" si="7"/>
        <v/>
      </c>
    </row>
    <row r="56" spans="1:14" s="15" customFormat="1" x14ac:dyDescent="0.25">
      <c r="A56" s="122">
        <f t="shared" si="6"/>
        <v>25</v>
      </c>
      <c r="B56" s="165">
        <v>0.3125</v>
      </c>
      <c r="C56" s="181">
        <v>10</v>
      </c>
      <c r="D56" s="182">
        <v>10</v>
      </c>
      <c r="E56" s="182">
        <v>10</v>
      </c>
      <c r="F56" s="182">
        <v>10</v>
      </c>
      <c r="G56" s="182">
        <v>10</v>
      </c>
      <c r="H56" s="182">
        <v>10</v>
      </c>
      <c r="I56" s="182">
        <v>10</v>
      </c>
      <c r="J56" s="182">
        <v>10</v>
      </c>
      <c r="K56" s="182">
        <v>10</v>
      </c>
      <c r="L56" s="182">
        <v>10</v>
      </c>
      <c r="M56" s="165">
        <v>0</v>
      </c>
      <c r="N56" s="16" t="str">
        <f t="shared" si="7"/>
        <v/>
      </c>
    </row>
    <row r="57" spans="1:14" s="15" customFormat="1" x14ac:dyDescent="0.25">
      <c r="A57" s="122">
        <f t="shared" si="6"/>
        <v>26</v>
      </c>
      <c r="B57" s="165">
        <v>0.15625</v>
      </c>
      <c r="C57" s="181">
        <v>10</v>
      </c>
      <c r="D57" s="182">
        <v>10</v>
      </c>
      <c r="E57" s="182">
        <v>10</v>
      </c>
      <c r="F57" s="182">
        <v>10</v>
      </c>
      <c r="G57" s="182">
        <v>10</v>
      </c>
      <c r="H57" s="182">
        <v>10</v>
      </c>
      <c r="I57" s="182">
        <v>10</v>
      </c>
      <c r="J57" s="182">
        <v>10</v>
      </c>
      <c r="K57" s="182">
        <v>10</v>
      </c>
      <c r="L57" s="182">
        <v>10</v>
      </c>
      <c r="M57" s="165">
        <v>0</v>
      </c>
      <c r="N57" s="16" t="str">
        <f t="shared" si="7"/>
        <v/>
      </c>
    </row>
    <row r="58" spans="1:14" s="15" customFormat="1" x14ac:dyDescent="0.25">
      <c r="A58" s="122">
        <f t="shared" si="6"/>
        <v>27</v>
      </c>
      <c r="B58" s="165">
        <v>7.8125E-2</v>
      </c>
      <c r="C58" s="181">
        <v>10</v>
      </c>
      <c r="D58" s="182">
        <v>10</v>
      </c>
      <c r="E58" s="182">
        <v>10</v>
      </c>
      <c r="F58" s="182">
        <v>10</v>
      </c>
      <c r="G58" s="182">
        <v>10</v>
      </c>
      <c r="H58" s="182">
        <v>10</v>
      </c>
      <c r="I58" s="182">
        <v>10</v>
      </c>
      <c r="J58" s="182">
        <v>10</v>
      </c>
      <c r="K58" s="182">
        <v>10</v>
      </c>
      <c r="L58" s="182">
        <v>10</v>
      </c>
      <c r="M58" s="165">
        <v>0</v>
      </c>
      <c r="N58" s="16" t="str">
        <f t="shared" si="7"/>
        <v/>
      </c>
    </row>
    <row r="59" spans="1:14" s="15" customFormat="1" x14ac:dyDescent="0.25">
      <c r="A59" s="122">
        <f t="shared" si="6"/>
        <v>28</v>
      </c>
      <c r="B59" s="165">
        <v>3.90625E-2</v>
      </c>
      <c r="C59" s="181">
        <v>10</v>
      </c>
      <c r="D59" s="182">
        <v>10</v>
      </c>
      <c r="E59" s="182">
        <v>10</v>
      </c>
      <c r="F59" s="182">
        <v>10</v>
      </c>
      <c r="G59" s="182">
        <v>10</v>
      </c>
      <c r="H59" s="182">
        <v>10</v>
      </c>
      <c r="I59" s="182">
        <v>10</v>
      </c>
      <c r="J59" s="182">
        <v>10</v>
      </c>
      <c r="K59" s="182">
        <v>10</v>
      </c>
      <c r="L59" s="182">
        <v>10</v>
      </c>
      <c r="M59" s="165">
        <v>0</v>
      </c>
      <c r="N59" s="16" t="str">
        <f t="shared" si="7"/>
        <v/>
      </c>
    </row>
    <row r="60" spans="1:14" s="15" customFormat="1" x14ac:dyDescent="0.25">
      <c r="A60" s="122">
        <f t="shared" si="6"/>
        <v>29</v>
      </c>
      <c r="B60" s="165">
        <v>1.953125E-2</v>
      </c>
      <c r="C60" s="181">
        <v>10</v>
      </c>
      <c r="D60" s="182">
        <v>10</v>
      </c>
      <c r="E60" s="182">
        <v>10</v>
      </c>
      <c r="F60" s="182">
        <v>10</v>
      </c>
      <c r="G60" s="182">
        <v>10</v>
      </c>
      <c r="H60" s="182">
        <v>10</v>
      </c>
      <c r="I60" s="182">
        <v>10</v>
      </c>
      <c r="J60" s="182">
        <v>10</v>
      </c>
      <c r="K60" s="182">
        <v>10</v>
      </c>
      <c r="L60" s="182">
        <v>10</v>
      </c>
      <c r="M60" s="165">
        <v>0</v>
      </c>
      <c r="N60" s="16" t="str">
        <f t="shared" si="7"/>
        <v/>
      </c>
    </row>
    <row r="61" spans="1:14" s="15" customFormat="1" x14ac:dyDescent="0.25">
      <c r="A61" s="122">
        <f t="shared" si="6"/>
        <v>30</v>
      </c>
      <c r="B61" s="165">
        <v>1.953125E-2</v>
      </c>
      <c r="C61" s="181">
        <v>10</v>
      </c>
      <c r="D61" s="182">
        <v>10</v>
      </c>
      <c r="E61" s="182">
        <v>10</v>
      </c>
      <c r="F61" s="182">
        <v>10</v>
      </c>
      <c r="G61" s="182">
        <v>10</v>
      </c>
      <c r="H61" s="182">
        <v>10</v>
      </c>
      <c r="I61" s="182">
        <v>10</v>
      </c>
      <c r="J61" s="182">
        <v>10</v>
      </c>
      <c r="K61" s="182">
        <v>10</v>
      </c>
      <c r="L61" s="182">
        <v>10</v>
      </c>
      <c r="M61" s="165">
        <v>0</v>
      </c>
      <c r="N61" s="16" t="str">
        <f t="shared" si="7"/>
        <v/>
      </c>
    </row>
    <row r="62" spans="1:14" s="15" customFormat="1" x14ac:dyDescent="0.25">
      <c r="A62" s="122">
        <f t="shared" si="6"/>
        <v>31</v>
      </c>
      <c r="B62" s="165">
        <v>5</v>
      </c>
      <c r="C62" s="181">
        <v>10</v>
      </c>
      <c r="D62" s="182">
        <v>10</v>
      </c>
      <c r="E62" s="182">
        <v>10</v>
      </c>
      <c r="F62" s="182">
        <v>10</v>
      </c>
      <c r="G62" s="182">
        <v>10</v>
      </c>
      <c r="H62" s="182">
        <v>10</v>
      </c>
      <c r="I62" s="182">
        <v>10</v>
      </c>
      <c r="J62" s="182">
        <v>10</v>
      </c>
      <c r="K62" s="182">
        <v>10</v>
      </c>
      <c r="L62" s="182">
        <v>10</v>
      </c>
      <c r="M62" s="165">
        <v>0</v>
      </c>
      <c r="N62" s="16" t="str">
        <f t="shared" si="7"/>
        <v/>
      </c>
    </row>
    <row r="63" spans="1:14" s="15" customFormat="1" x14ac:dyDescent="0.25">
      <c r="A63" s="122">
        <f t="shared" si="6"/>
        <v>32</v>
      </c>
      <c r="B63" s="165">
        <v>2.5</v>
      </c>
      <c r="C63" s="181">
        <v>10</v>
      </c>
      <c r="D63" s="182">
        <v>10</v>
      </c>
      <c r="E63" s="182">
        <v>10</v>
      </c>
      <c r="F63" s="182">
        <v>10</v>
      </c>
      <c r="G63" s="182">
        <v>10</v>
      </c>
      <c r="H63" s="182">
        <v>10</v>
      </c>
      <c r="I63" s="182">
        <v>10</v>
      </c>
      <c r="J63" s="182">
        <v>10</v>
      </c>
      <c r="K63" s="182">
        <v>10</v>
      </c>
      <c r="L63" s="182">
        <v>10</v>
      </c>
      <c r="M63" s="165">
        <v>0</v>
      </c>
      <c r="N63" s="16" t="str">
        <f t="shared" si="7"/>
        <v/>
      </c>
    </row>
    <row r="64" spans="1:14" s="15" customFormat="1" x14ac:dyDescent="0.25">
      <c r="A64" s="122">
        <f t="shared" ref="A64:A95" si="8">IF(VFLAW_WELD_OPT="Several",IF(A63="%",1,A63+1),"")</f>
        <v>33</v>
      </c>
      <c r="B64" s="165">
        <v>1.25</v>
      </c>
      <c r="C64" s="181">
        <v>10</v>
      </c>
      <c r="D64" s="182">
        <v>10</v>
      </c>
      <c r="E64" s="182">
        <v>10</v>
      </c>
      <c r="F64" s="182">
        <v>10</v>
      </c>
      <c r="G64" s="182">
        <v>10</v>
      </c>
      <c r="H64" s="182">
        <v>10</v>
      </c>
      <c r="I64" s="182">
        <v>10</v>
      </c>
      <c r="J64" s="182">
        <v>10</v>
      </c>
      <c r="K64" s="182">
        <v>10</v>
      </c>
      <c r="L64" s="182">
        <v>10</v>
      </c>
      <c r="M64" s="165">
        <v>0</v>
      </c>
      <c r="N64" s="16" t="str">
        <f t="shared" ref="N64:N95" si="9">IF(AND(B64&lt;&gt;0,VFLAW_WELD_ARdefault="no"),IF(SUM(C64:M64)=100,"","Sum must equal 100%"),"")</f>
        <v/>
      </c>
    </row>
    <row r="65" spans="1:14" s="15" customFormat="1" x14ac:dyDescent="0.25">
      <c r="A65" s="122">
        <f t="shared" si="8"/>
        <v>34</v>
      </c>
      <c r="B65" s="165">
        <v>0.625</v>
      </c>
      <c r="C65" s="181">
        <v>10</v>
      </c>
      <c r="D65" s="182">
        <v>10</v>
      </c>
      <c r="E65" s="182">
        <v>10</v>
      </c>
      <c r="F65" s="182">
        <v>10</v>
      </c>
      <c r="G65" s="182">
        <v>10</v>
      </c>
      <c r="H65" s="182">
        <v>10</v>
      </c>
      <c r="I65" s="182">
        <v>10</v>
      </c>
      <c r="J65" s="182">
        <v>10</v>
      </c>
      <c r="K65" s="182">
        <v>10</v>
      </c>
      <c r="L65" s="182">
        <v>10</v>
      </c>
      <c r="M65" s="165">
        <v>0</v>
      </c>
      <c r="N65" s="16" t="str">
        <f t="shared" si="9"/>
        <v/>
      </c>
    </row>
    <row r="66" spans="1:14" s="15" customFormat="1" x14ac:dyDescent="0.25">
      <c r="A66" s="122">
        <f t="shared" si="8"/>
        <v>35</v>
      </c>
      <c r="B66" s="165">
        <v>0.3125</v>
      </c>
      <c r="C66" s="181">
        <v>10</v>
      </c>
      <c r="D66" s="182">
        <v>10</v>
      </c>
      <c r="E66" s="182">
        <v>10</v>
      </c>
      <c r="F66" s="182">
        <v>10</v>
      </c>
      <c r="G66" s="182">
        <v>10</v>
      </c>
      <c r="H66" s="182">
        <v>10</v>
      </c>
      <c r="I66" s="182">
        <v>10</v>
      </c>
      <c r="J66" s="182">
        <v>10</v>
      </c>
      <c r="K66" s="182">
        <v>10</v>
      </c>
      <c r="L66" s="182">
        <v>10</v>
      </c>
      <c r="M66" s="165">
        <v>0</v>
      </c>
      <c r="N66" s="16" t="str">
        <f t="shared" si="9"/>
        <v/>
      </c>
    </row>
    <row r="67" spans="1:14" s="15" customFormat="1" x14ac:dyDescent="0.25">
      <c r="A67" s="122">
        <f t="shared" si="8"/>
        <v>36</v>
      </c>
      <c r="B67" s="165">
        <v>0.15625</v>
      </c>
      <c r="C67" s="181">
        <v>10</v>
      </c>
      <c r="D67" s="182">
        <v>10</v>
      </c>
      <c r="E67" s="182">
        <v>10</v>
      </c>
      <c r="F67" s="182">
        <v>10</v>
      </c>
      <c r="G67" s="182">
        <v>10</v>
      </c>
      <c r="H67" s="182">
        <v>10</v>
      </c>
      <c r="I67" s="182">
        <v>10</v>
      </c>
      <c r="J67" s="182">
        <v>10</v>
      </c>
      <c r="K67" s="182">
        <v>10</v>
      </c>
      <c r="L67" s="182">
        <v>10</v>
      </c>
      <c r="M67" s="165">
        <v>0</v>
      </c>
      <c r="N67" s="16" t="str">
        <f t="shared" si="9"/>
        <v/>
      </c>
    </row>
    <row r="68" spans="1:14" s="15" customFormat="1" x14ac:dyDescent="0.25">
      <c r="A68" s="122">
        <f t="shared" si="8"/>
        <v>37</v>
      </c>
      <c r="B68" s="165">
        <v>7.8125E-2</v>
      </c>
      <c r="C68" s="181">
        <v>10</v>
      </c>
      <c r="D68" s="182">
        <v>10</v>
      </c>
      <c r="E68" s="182">
        <v>10</v>
      </c>
      <c r="F68" s="182">
        <v>10</v>
      </c>
      <c r="G68" s="182">
        <v>10</v>
      </c>
      <c r="H68" s="182">
        <v>10</v>
      </c>
      <c r="I68" s="182">
        <v>10</v>
      </c>
      <c r="J68" s="182">
        <v>10</v>
      </c>
      <c r="K68" s="182">
        <v>10</v>
      </c>
      <c r="L68" s="182">
        <v>10</v>
      </c>
      <c r="M68" s="165">
        <v>0</v>
      </c>
      <c r="N68" s="16" t="str">
        <f t="shared" si="9"/>
        <v/>
      </c>
    </row>
    <row r="69" spans="1:14" s="15" customFormat="1" x14ac:dyDescent="0.25">
      <c r="A69" s="122">
        <f t="shared" si="8"/>
        <v>38</v>
      </c>
      <c r="B69" s="165">
        <v>3.90625E-2</v>
      </c>
      <c r="C69" s="181">
        <v>10</v>
      </c>
      <c r="D69" s="182">
        <v>10</v>
      </c>
      <c r="E69" s="182">
        <v>10</v>
      </c>
      <c r="F69" s="182">
        <v>10</v>
      </c>
      <c r="G69" s="182">
        <v>10</v>
      </c>
      <c r="H69" s="182">
        <v>10</v>
      </c>
      <c r="I69" s="182">
        <v>10</v>
      </c>
      <c r="J69" s="182">
        <v>10</v>
      </c>
      <c r="K69" s="182">
        <v>10</v>
      </c>
      <c r="L69" s="182">
        <v>10</v>
      </c>
      <c r="M69" s="165">
        <v>0</v>
      </c>
      <c r="N69" s="16" t="str">
        <f t="shared" si="9"/>
        <v/>
      </c>
    </row>
    <row r="70" spans="1:14" s="15" customFormat="1" x14ac:dyDescent="0.25">
      <c r="A70" s="122">
        <f t="shared" si="8"/>
        <v>39</v>
      </c>
      <c r="B70" s="165">
        <v>1.953125E-2</v>
      </c>
      <c r="C70" s="181">
        <v>10</v>
      </c>
      <c r="D70" s="182">
        <v>10</v>
      </c>
      <c r="E70" s="182">
        <v>10</v>
      </c>
      <c r="F70" s="182">
        <v>10</v>
      </c>
      <c r="G70" s="182">
        <v>10</v>
      </c>
      <c r="H70" s="182">
        <v>10</v>
      </c>
      <c r="I70" s="182">
        <v>10</v>
      </c>
      <c r="J70" s="182">
        <v>10</v>
      </c>
      <c r="K70" s="182">
        <v>10</v>
      </c>
      <c r="L70" s="182">
        <v>10</v>
      </c>
      <c r="M70" s="165">
        <v>0</v>
      </c>
      <c r="N70" s="16" t="str">
        <f t="shared" si="9"/>
        <v/>
      </c>
    </row>
    <row r="71" spans="1:14" s="15" customFormat="1" x14ac:dyDescent="0.25">
      <c r="A71" s="122">
        <f t="shared" si="8"/>
        <v>40</v>
      </c>
      <c r="B71" s="165">
        <v>1.953125E-2</v>
      </c>
      <c r="C71" s="181">
        <v>10</v>
      </c>
      <c r="D71" s="182">
        <v>10</v>
      </c>
      <c r="E71" s="182">
        <v>10</v>
      </c>
      <c r="F71" s="182">
        <v>10</v>
      </c>
      <c r="G71" s="182">
        <v>10</v>
      </c>
      <c r="H71" s="182">
        <v>10</v>
      </c>
      <c r="I71" s="182">
        <v>10</v>
      </c>
      <c r="J71" s="182">
        <v>10</v>
      </c>
      <c r="K71" s="182">
        <v>10</v>
      </c>
      <c r="L71" s="182">
        <v>10</v>
      </c>
      <c r="M71" s="165">
        <v>0</v>
      </c>
      <c r="N71" s="16" t="str">
        <f t="shared" si="9"/>
        <v/>
      </c>
    </row>
    <row r="72" spans="1:14" s="15" customFormat="1" x14ac:dyDescent="0.25">
      <c r="A72" s="122">
        <f t="shared" si="8"/>
        <v>41</v>
      </c>
      <c r="B72" s="165">
        <v>5</v>
      </c>
      <c r="C72" s="181">
        <v>10</v>
      </c>
      <c r="D72" s="182">
        <v>10</v>
      </c>
      <c r="E72" s="182">
        <v>10</v>
      </c>
      <c r="F72" s="182">
        <v>10</v>
      </c>
      <c r="G72" s="182">
        <v>10</v>
      </c>
      <c r="H72" s="182">
        <v>10</v>
      </c>
      <c r="I72" s="182">
        <v>10</v>
      </c>
      <c r="J72" s="182">
        <v>10</v>
      </c>
      <c r="K72" s="182">
        <v>10</v>
      </c>
      <c r="L72" s="182">
        <v>10</v>
      </c>
      <c r="M72" s="165">
        <v>0</v>
      </c>
      <c r="N72" s="16" t="str">
        <f t="shared" si="9"/>
        <v/>
      </c>
    </row>
    <row r="73" spans="1:14" s="15" customFormat="1" x14ac:dyDescent="0.25">
      <c r="A73" s="122">
        <f t="shared" si="8"/>
        <v>42</v>
      </c>
      <c r="B73" s="165">
        <v>2.5</v>
      </c>
      <c r="C73" s="181">
        <v>10</v>
      </c>
      <c r="D73" s="182">
        <v>10</v>
      </c>
      <c r="E73" s="182">
        <v>10</v>
      </c>
      <c r="F73" s="182">
        <v>10</v>
      </c>
      <c r="G73" s="182">
        <v>10</v>
      </c>
      <c r="H73" s="182">
        <v>10</v>
      </c>
      <c r="I73" s="182">
        <v>10</v>
      </c>
      <c r="J73" s="182">
        <v>10</v>
      </c>
      <c r="K73" s="182">
        <v>10</v>
      </c>
      <c r="L73" s="182">
        <v>10</v>
      </c>
      <c r="M73" s="165">
        <v>0</v>
      </c>
      <c r="N73" s="16" t="str">
        <f t="shared" si="9"/>
        <v/>
      </c>
    </row>
    <row r="74" spans="1:14" s="15" customFormat="1" x14ac:dyDescent="0.25">
      <c r="A74" s="122">
        <f t="shared" si="8"/>
        <v>43</v>
      </c>
      <c r="B74" s="165">
        <v>1.25</v>
      </c>
      <c r="C74" s="181">
        <v>10</v>
      </c>
      <c r="D74" s="182">
        <v>10</v>
      </c>
      <c r="E74" s="182">
        <v>10</v>
      </c>
      <c r="F74" s="182">
        <v>10</v>
      </c>
      <c r="G74" s="182">
        <v>10</v>
      </c>
      <c r="H74" s="182">
        <v>10</v>
      </c>
      <c r="I74" s="182">
        <v>10</v>
      </c>
      <c r="J74" s="182">
        <v>10</v>
      </c>
      <c r="K74" s="182">
        <v>10</v>
      </c>
      <c r="L74" s="182">
        <v>10</v>
      </c>
      <c r="M74" s="165">
        <v>0</v>
      </c>
      <c r="N74" s="16" t="str">
        <f t="shared" si="9"/>
        <v/>
      </c>
    </row>
    <row r="75" spans="1:14" s="15" customFormat="1" x14ac:dyDescent="0.25">
      <c r="A75" s="122">
        <f t="shared" si="8"/>
        <v>44</v>
      </c>
      <c r="B75" s="165">
        <v>0.625</v>
      </c>
      <c r="C75" s="181">
        <v>10</v>
      </c>
      <c r="D75" s="182">
        <v>10</v>
      </c>
      <c r="E75" s="182">
        <v>10</v>
      </c>
      <c r="F75" s="182">
        <v>10</v>
      </c>
      <c r="G75" s="182">
        <v>10</v>
      </c>
      <c r="H75" s="182">
        <v>10</v>
      </c>
      <c r="I75" s="182">
        <v>10</v>
      </c>
      <c r="J75" s="182">
        <v>10</v>
      </c>
      <c r="K75" s="182">
        <v>10</v>
      </c>
      <c r="L75" s="182">
        <v>10</v>
      </c>
      <c r="M75" s="165">
        <v>0</v>
      </c>
      <c r="N75" s="16" t="str">
        <f t="shared" si="9"/>
        <v/>
      </c>
    </row>
    <row r="76" spans="1:14" s="15" customFormat="1" x14ac:dyDescent="0.25">
      <c r="A76" s="122">
        <f t="shared" si="8"/>
        <v>45</v>
      </c>
      <c r="B76" s="165">
        <v>0.3125</v>
      </c>
      <c r="C76" s="181">
        <v>10</v>
      </c>
      <c r="D76" s="182">
        <v>10</v>
      </c>
      <c r="E76" s="182">
        <v>10</v>
      </c>
      <c r="F76" s="182">
        <v>10</v>
      </c>
      <c r="G76" s="182">
        <v>10</v>
      </c>
      <c r="H76" s="182">
        <v>10</v>
      </c>
      <c r="I76" s="182">
        <v>10</v>
      </c>
      <c r="J76" s="182">
        <v>10</v>
      </c>
      <c r="K76" s="182">
        <v>10</v>
      </c>
      <c r="L76" s="182">
        <v>10</v>
      </c>
      <c r="M76" s="165">
        <v>0</v>
      </c>
      <c r="N76" s="16" t="str">
        <f t="shared" si="9"/>
        <v/>
      </c>
    </row>
    <row r="77" spans="1:14" s="15" customFormat="1" x14ac:dyDescent="0.25">
      <c r="A77" s="122">
        <f t="shared" si="8"/>
        <v>46</v>
      </c>
      <c r="B77" s="165">
        <v>0.15625</v>
      </c>
      <c r="C77" s="181">
        <v>10</v>
      </c>
      <c r="D77" s="182">
        <v>10</v>
      </c>
      <c r="E77" s="182">
        <v>10</v>
      </c>
      <c r="F77" s="182">
        <v>10</v>
      </c>
      <c r="G77" s="182">
        <v>10</v>
      </c>
      <c r="H77" s="182">
        <v>10</v>
      </c>
      <c r="I77" s="182">
        <v>10</v>
      </c>
      <c r="J77" s="182">
        <v>10</v>
      </c>
      <c r="K77" s="182">
        <v>10</v>
      </c>
      <c r="L77" s="182">
        <v>10</v>
      </c>
      <c r="M77" s="165">
        <v>0</v>
      </c>
      <c r="N77" s="16" t="str">
        <f t="shared" si="9"/>
        <v/>
      </c>
    </row>
    <row r="78" spans="1:14" s="15" customFormat="1" x14ac:dyDescent="0.25">
      <c r="A78" s="122">
        <f t="shared" si="8"/>
        <v>47</v>
      </c>
      <c r="B78" s="165">
        <v>7.8125E-2</v>
      </c>
      <c r="C78" s="181">
        <v>10</v>
      </c>
      <c r="D78" s="182">
        <v>10</v>
      </c>
      <c r="E78" s="182">
        <v>10</v>
      </c>
      <c r="F78" s="182">
        <v>10</v>
      </c>
      <c r="G78" s="182">
        <v>10</v>
      </c>
      <c r="H78" s="182">
        <v>10</v>
      </c>
      <c r="I78" s="182">
        <v>10</v>
      </c>
      <c r="J78" s="182">
        <v>10</v>
      </c>
      <c r="K78" s="182">
        <v>10</v>
      </c>
      <c r="L78" s="182">
        <v>10</v>
      </c>
      <c r="M78" s="165">
        <v>0</v>
      </c>
      <c r="N78" s="16" t="str">
        <f t="shared" si="9"/>
        <v/>
      </c>
    </row>
    <row r="79" spans="1:14" s="15" customFormat="1" x14ac:dyDescent="0.25">
      <c r="A79" s="122">
        <f t="shared" si="8"/>
        <v>48</v>
      </c>
      <c r="B79" s="165">
        <v>3.90625E-2</v>
      </c>
      <c r="C79" s="181">
        <v>10</v>
      </c>
      <c r="D79" s="182">
        <v>10</v>
      </c>
      <c r="E79" s="182">
        <v>10</v>
      </c>
      <c r="F79" s="182">
        <v>10</v>
      </c>
      <c r="G79" s="182">
        <v>10</v>
      </c>
      <c r="H79" s="182">
        <v>10</v>
      </c>
      <c r="I79" s="182">
        <v>10</v>
      </c>
      <c r="J79" s="182">
        <v>10</v>
      </c>
      <c r="K79" s="182">
        <v>10</v>
      </c>
      <c r="L79" s="182">
        <v>10</v>
      </c>
      <c r="M79" s="165">
        <v>0</v>
      </c>
      <c r="N79" s="16" t="str">
        <f t="shared" si="9"/>
        <v/>
      </c>
    </row>
    <row r="80" spans="1:14" s="15" customFormat="1" x14ac:dyDescent="0.25">
      <c r="A80" s="122">
        <f t="shared" si="8"/>
        <v>49</v>
      </c>
      <c r="B80" s="165">
        <v>1.953125E-2</v>
      </c>
      <c r="C80" s="181">
        <v>10</v>
      </c>
      <c r="D80" s="182">
        <v>10</v>
      </c>
      <c r="E80" s="182">
        <v>10</v>
      </c>
      <c r="F80" s="182">
        <v>10</v>
      </c>
      <c r="G80" s="182">
        <v>10</v>
      </c>
      <c r="H80" s="182">
        <v>10</v>
      </c>
      <c r="I80" s="182">
        <v>10</v>
      </c>
      <c r="J80" s="182">
        <v>10</v>
      </c>
      <c r="K80" s="182">
        <v>10</v>
      </c>
      <c r="L80" s="182">
        <v>10</v>
      </c>
      <c r="M80" s="165">
        <v>0</v>
      </c>
      <c r="N80" s="16" t="str">
        <f t="shared" si="9"/>
        <v/>
      </c>
    </row>
    <row r="81" spans="1:14" s="15" customFormat="1" x14ac:dyDescent="0.25">
      <c r="A81" s="122">
        <f t="shared" si="8"/>
        <v>50</v>
      </c>
      <c r="B81" s="165">
        <v>1.953125E-2</v>
      </c>
      <c r="C81" s="181">
        <v>10</v>
      </c>
      <c r="D81" s="182">
        <v>10</v>
      </c>
      <c r="E81" s="182">
        <v>10</v>
      </c>
      <c r="F81" s="182">
        <v>10</v>
      </c>
      <c r="G81" s="182">
        <v>10</v>
      </c>
      <c r="H81" s="182">
        <v>10</v>
      </c>
      <c r="I81" s="182">
        <v>10</v>
      </c>
      <c r="J81" s="182">
        <v>10</v>
      </c>
      <c r="K81" s="182">
        <v>10</v>
      </c>
      <c r="L81" s="182">
        <v>10</v>
      </c>
      <c r="M81" s="165">
        <v>0</v>
      </c>
      <c r="N81" s="16" t="str">
        <f t="shared" si="9"/>
        <v/>
      </c>
    </row>
    <row r="82" spans="1:14" s="15" customFormat="1" x14ac:dyDescent="0.25">
      <c r="A82" s="122">
        <f t="shared" si="8"/>
        <v>51</v>
      </c>
      <c r="B82" s="165">
        <v>5</v>
      </c>
      <c r="C82" s="181">
        <v>10</v>
      </c>
      <c r="D82" s="182">
        <v>10</v>
      </c>
      <c r="E82" s="182">
        <v>10</v>
      </c>
      <c r="F82" s="182">
        <v>10</v>
      </c>
      <c r="G82" s="182">
        <v>10</v>
      </c>
      <c r="H82" s="182">
        <v>10</v>
      </c>
      <c r="I82" s="182">
        <v>10</v>
      </c>
      <c r="J82" s="182">
        <v>10</v>
      </c>
      <c r="K82" s="182">
        <v>10</v>
      </c>
      <c r="L82" s="182">
        <v>10</v>
      </c>
      <c r="M82" s="165">
        <v>0</v>
      </c>
      <c r="N82" s="16" t="str">
        <f t="shared" si="9"/>
        <v/>
      </c>
    </row>
    <row r="83" spans="1:14" s="15" customFormat="1" x14ac:dyDescent="0.25">
      <c r="A83" s="122">
        <f t="shared" si="8"/>
        <v>52</v>
      </c>
      <c r="B83" s="165">
        <v>2.5</v>
      </c>
      <c r="C83" s="181">
        <v>10</v>
      </c>
      <c r="D83" s="182">
        <v>10</v>
      </c>
      <c r="E83" s="182">
        <v>10</v>
      </c>
      <c r="F83" s="182">
        <v>10</v>
      </c>
      <c r="G83" s="182">
        <v>10</v>
      </c>
      <c r="H83" s="182">
        <v>10</v>
      </c>
      <c r="I83" s="182">
        <v>10</v>
      </c>
      <c r="J83" s="182">
        <v>10</v>
      </c>
      <c r="K83" s="182">
        <v>10</v>
      </c>
      <c r="L83" s="182">
        <v>10</v>
      </c>
      <c r="M83" s="165">
        <v>0</v>
      </c>
      <c r="N83" s="16" t="str">
        <f t="shared" si="9"/>
        <v/>
      </c>
    </row>
    <row r="84" spans="1:14" s="15" customFormat="1" x14ac:dyDescent="0.25">
      <c r="A84" s="122">
        <f t="shared" si="8"/>
        <v>53</v>
      </c>
      <c r="B84" s="165">
        <v>1.25</v>
      </c>
      <c r="C84" s="181">
        <v>10</v>
      </c>
      <c r="D84" s="182">
        <v>10</v>
      </c>
      <c r="E84" s="182">
        <v>10</v>
      </c>
      <c r="F84" s="182">
        <v>10</v>
      </c>
      <c r="G84" s="182">
        <v>10</v>
      </c>
      <c r="H84" s="182">
        <v>10</v>
      </c>
      <c r="I84" s="182">
        <v>10</v>
      </c>
      <c r="J84" s="182">
        <v>10</v>
      </c>
      <c r="K84" s="182">
        <v>10</v>
      </c>
      <c r="L84" s="182">
        <v>10</v>
      </c>
      <c r="M84" s="165">
        <v>0</v>
      </c>
      <c r="N84" s="16" t="str">
        <f t="shared" si="9"/>
        <v/>
      </c>
    </row>
    <row r="85" spans="1:14" s="15" customFormat="1" x14ac:dyDescent="0.25">
      <c r="A85" s="122">
        <f t="shared" si="8"/>
        <v>54</v>
      </c>
      <c r="B85" s="165">
        <v>0.625</v>
      </c>
      <c r="C85" s="181">
        <v>10</v>
      </c>
      <c r="D85" s="182">
        <v>10</v>
      </c>
      <c r="E85" s="182">
        <v>10</v>
      </c>
      <c r="F85" s="182">
        <v>10</v>
      </c>
      <c r="G85" s="182">
        <v>10</v>
      </c>
      <c r="H85" s="182">
        <v>10</v>
      </c>
      <c r="I85" s="182">
        <v>10</v>
      </c>
      <c r="J85" s="182">
        <v>10</v>
      </c>
      <c r="K85" s="182">
        <v>10</v>
      </c>
      <c r="L85" s="182">
        <v>10</v>
      </c>
      <c r="M85" s="165">
        <v>0</v>
      </c>
      <c r="N85" s="16" t="str">
        <f t="shared" si="9"/>
        <v/>
      </c>
    </row>
    <row r="86" spans="1:14" s="15" customFormat="1" x14ac:dyDescent="0.25">
      <c r="A86" s="122">
        <f t="shared" si="8"/>
        <v>55</v>
      </c>
      <c r="B86" s="165">
        <v>0.3125</v>
      </c>
      <c r="C86" s="181">
        <v>10</v>
      </c>
      <c r="D86" s="182">
        <v>10</v>
      </c>
      <c r="E86" s="182">
        <v>10</v>
      </c>
      <c r="F86" s="182">
        <v>10</v>
      </c>
      <c r="G86" s="182">
        <v>10</v>
      </c>
      <c r="H86" s="182">
        <v>10</v>
      </c>
      <c r="I86" s="182">
        <v>10</v>
      </c>
      <c r="J86" s="182">
        <v>10</v>
      </c>
      <c r="K86" s="182">
        <v>10</v>
      </c>
      <c r="L86" s="182">
        <v>10</v>
      </c>
      <c r="M86" s="165">
        <v>0</v>
      </c>
      <c r="N86" s="16" t="str">
        <f t="shared" si="9"/>
        <v/>
      </c>
    </row>
    <row r="87" spans="1:14" s="15" customFormat="1" x14ac:dyDescent="0.25">
      <c r="A87" s="122">
        <f t="shared" si="8"/>
        <v>56</v>
      </c>
      <c r="B87" s="165">
        <v>0.15625</v>
      </c>
      <c r="C87" s="181">
        <v>10</v>
      </c>
      <c r="D87" s="182">
        <v>10</v>
      </c>
      <c r="E87" s="182">
        <v>10</v>
      </c>
      <c r="F87" s="182">
        <v>10</v>
      </c>
      <c r="G87" s="182">
        <v>10</v>
      </c>
      <c r="H87" s="182">
        <v>10</v>
      </c>
      <c r="I87" s="182">
        <v>10</v>
      </c>
      <c r="J87" s="182">
        <v>10</v>
      </c>
      <c r="K87" s="182">
        <v>10</v>
      </c>
      <c r="L87" s="182">
        <v>10</v>
      </c>
      <c r="M87" s="165">
        <v>0</v>
      </c>
      <c r="N87" s="16" t="str">
        <f t="shared" si="9"/>
        <v/>
      </c>
    </row>
    <row r="88" spans="1:14" s="15" customFormat="1" x14ac:dyDescent="0.25">
      <c r="A88" s="122">
        <f t="shared" si="8"/>
        <v>57</v>
      </c>
      <c r="B88" s="165">
        <v>7.8125E-2</v>
      </c>
      <c r="C88" s="181">
        <v>10</v>
      </c>
      <c r="D88" s="182">
        <v>10</v>
      </c>
      <c r="E88" s="182">
        <v>10</v>
      </c>
      <c r="F88" s="182">
        <v>10</v>
      </c>
      <c r="G88" s="182">
        <v>10</v>
      </c>
      <c r="H88" s="182">
        <v>10</v>
      </c>
      <c r="I88" s="182">
        <v>10</v>
      </c>
      <c r="J88" s="182">
        <v>10</v>
      </c>
      <c r="K88" s="182">
        <v>10</v>
      </c>
      <c r="L88" s="182">
        <v>10</v>
      </c>
      <c r="M88" s="165">
        <v>0</v>
      </c>
      <c r="N88" s="16" t="str">
        <f t="shared" si="9"/>
        <v/>
      </c>
    </row>
    <row r="89" spans="1:14" s="15" customFormat="1" x14ac:dyDescent="0.25">
      <c r="A89" s="122">
        <f t="shared" si="8"/>
        <v>58</v>
      </c>
      <c r="B89" s="165">
        <v>3.90625E-2</v>
      </c>
      <c r="C89" s="181">
        <v>10</v>
      </c>
      <c r="D89" s="182">
        <v>10</v>
      </c>
      <c r="E89" s="182">
        <v>10</v>
      </c>
      <c r="F89" s="182">
        <v>10</v>
      </c>
      <c r="G89" s="182">
        <v>10</v>
      </c>
      <c r="H89" s="182">
        <v>10</v>
      </c>
      <c r="I89" s="182">
        <v>10</v>
      </c>
      <c r="J89" s="182">
        <v>10</v>
      </c>
      <c r="K89" s="182">
        <v>10</v>
      </c>
      <c r="L89" s="182">
        <v>10</v>
      </c>
      <c r="M89" s="165">
        <v>0</v>
      </c>
      <c r="N89" s="16" t="str">
        <f t="shared" si="9"/>
        <v/>
      </c>
    </row>
    <row r="90" spans="1:14" s="15" customFormat="1" x14ac:dyDescent="0.25">
      <c r="A90" s="122">
        <f t="shared" si="8"/>
        <v>59</v>
      </c>
      <c r="B90" s="165">
        <v>1.953125E-2</v>
      </c>
      <c r="C90" s="181">
        <v>10</v>
      </c>
      <c r="D90" s="182">
        <v>10</v>
      </c>
      <c r="E90" s="182">
        <v>10</v>
      </c>
      <c r="F90" s="182">
        <v>10</v>
      </c>
      <c r="G90" s="182">
        <v>10</v>
      </c>
      <c r="H90" s="182">
        <v>10</v>
      </c>
      <c r="I90" s="182">
        <v>10</v>
      </c>
      <c r="J90" s="182">
        <v>10</v>
      </c>
      <c r="K90" s="182">
        <v>10</v>
      </c>
      <c r="L90" s="182">
        <v>10</v>
      </c>
      <c r="M90" s="165">
        <v>0</v>
      </c>
      <c r="N90" s="16" t="str">
        <f t="shared" si="9"/>
        <v/>
      </c>
    </row>
    <row r="91" spans="1:14" s="15" customFormat="1" x14ac:dyDescent="0.25">
      <c r="A91" s="122">
        <f t="shared" si="8"/>
        <v>60</v>
      </c>
      <c r="B91" s="165">
        <v>1.953125E-2</v>
      </c>
      <c r="C91" s="181">
        <v>10</v>
      </c>
      <c r="D91" s="182">
        <v>10</v>
      </c>
      <c r="E91" s="182">
        <v>10</v>
      </c>
      <c r="F91" s="182">
        <v>10</v>
      </c>
      <c r="G91" s="182">
        <v>10</v>
      </c>
      <c r="H91" s="182">
        <v>10</v>
      </c>
      <c r="I91" s="182">
        <v>10</v>
      </c>
      <c r="J91" s="182">
        <v>10</v>
      </c>
      <c r="K91" s="182">
        <v>10</v>
      </c>
      <c r="L91" s="182">
        <v>10</v>
      </c>
      <c r="M91" s="165">
        <v>0</v>
      </c>
      <c r="N91" s="16" t="str">
        <f t="shared" si="9"/>
        <v/>
      </c>
    </row>
    <row r="92" spans="1:14" s="15" customFormat="1" x14ac:dyDescent="0.25">
      <c r="A92" s="122">
        <f t="shared" si="8"/>
        <v>61</v>
      </c>
      <c r="B92" s="165">
        <v>5</v>
      </c>
      <c r="C92" s="181">
        <v>10</v>
      </c>
      <c r="D92" s="182">
        <v>10</v>
      </c>
      <c r="E92" s="182">
        <v>10</v>
      </c>
      <c r="F92" s="182">
        <v>10</v>
      </c>
      <c r="G92" s="182">
        <v>10</v>
      </c>
      <c r="H92" s="182">
        <v>10</v>
      </c>
      <c r="I92" s="182">
        <v>10</v>
      </c>
      <c r="J92" s="182">
        <v>10</v>
      </c>
      <c r="K92" s="182">
        <v>10</v>
      </c>
      <c r="L92" s="182">
        <v>10</v>
      </c>
      <c r="M92" s="165">
        <v>0</v>
      </c>
      <c r="N92" s="16" t="str">
        <f t="shared" si="9"/>
        <v/>
      </c>
    </row>
    <row r="93" spans="1:14" s="15" customFormat="1" x14ac:dyDescent="0.25">
      <c r="A93" s="122">
        <f t="shared" si="8"/>
        <v>62</v>
      </c>
      <c r="B93" s="165">
        <v>2.5</v>
      </c>
      <c r="C93" s="181">
        <v>10</v>
      </c>
      <c r="D93" s="182">
        <v>10</v>
      </c>
      <c r="E93" s="182">
        <v>10</v>
      </c>
      <c r="F93" s="182">
        <v>10</v>
      </c>
      <c r="G93" s="182">
        <v>10</v>
      </c>
      <c r="H93" s="182">
        <v>10</v>
      </c>
      <c r="I93" s="182">
        <v>10</v>
      </c>
      <c r="J93" s="182">
        <v>10</v>
      </c>
      <c r="K93" s="182">
        <v>10</v>
      </c>
      <c r="L93" s="182">
        <v>10</v>
      </c>
      <c r="M93" s="165">
        <v>0</v>
      </c>
      <c r="N93" s="16" t="str">
        <f t="shared" si="9"/>
        <v/>
      </c>
    </row>
    <row r="94" spans="1:14" s="15" customFormat="1" x14ac:dyDescent="0.25">
      <c r="A94" s="122">
        <f t="shared" si="8"/>
        <v>63</v>
      </c>
      <c r="B94" s="165">
        <v>1.25</v>
      </c>
      <c r="C94" s="181">
        <v>10</v>
      </c>
      <c r="D94" s="182">
        <v>10</v>
      </c>
      <c r="E94" s="182">
        <v>10</v>
      </c>
      <c r="F94" s="182">
        <v>10</v>
      </c>
      <c r="G94" s="182">
        <v>10</v>
      </c>
      <c r="H94" s="182">
        <v>10</v>
      </c>
      <c r="I94" s="182">
        <v>10</v>
      </c>
      <c r="J94" s="182">
        <v>10</v>
      </c>
      <c r="K94" s="182">
        <v>10</v>
      </c>
      <c r="L94" s="182">
        <v>10</v>
      </c>
      <c r="M94" s="165">
        <v>0</v>
      </c>
      <c r="N94" s="16" t="str">
        <f t="shared" si="9"/>
        <v/>
      </c>
    </row>
    <row r="95" spans="1:14" s="15" customFormat="1" x14ac:dyDescent="0.25">
      <c r="A95" s="122">
        <f t="shared" si="8"/>
        <v>64</v>
      </c>
      <c r="B95" s="165">
        <v>0.625</v>
      </c>
      <c r="C95" s="181">
        <v>10</v>
      </c>
      <c r="D95" s="182">
        <v>10</v>
      </c>
      <c r="E95" s="182">
        <v>10</v>
      </c>
      <c r="F95" s="182">
        <v>10</v>
      </c>
      <c r="G95" s="182">
        <v>10</v>
      </c>
      <c r="H95" s="182">
        <v>10</v>
      </c>
      <c r="I95" s="182">
        <v>10</v>
      </c>
      <c r="J95" s="182">
        <v>10</v>
      </c>
      <c r="K95" s="182">
        <v>10</v>
      </c>
      <c r="L95" s="182">
        <v>10</v>
      </c>
      <c r="M95" s="165">
        <v>0</v>
      </c>
      <c r="N95" s="16" t="str">
        <f t="shared" si="9"/>
        <v/>
      </c>
    </row>
    <row r="96" spans="1:14" s="15" customFormat="1" x14ac:dyDescent="0.25">
      <c r="A96" s="122">
        <f t="shared" ref="A96:A131" si="10">IF(VFLAW_WELD_OPT="Several",IF(A95="%",1,A95+1),"")</f>
        <v>65</v>
      </c>
      <c r="B96" s="165">
        <v>0.3125</v>
      </c>
      <c r="C96" s="181">
        <v>10</v>
      </c>
      <c r="D96" s="182">
        <v>10</v>
      </c>
      <c r="E96" s="182">
        <v>10</v>
      </c>
      <c r="F96" s="182">
        <v>10</v>
      </c>
      <c r="G96" s="182">
        <v>10</v>
      </c>
      <c r="H96" s="182">
        <v>10</v>
      </c>
      <c r="I96" s="182">
        <v>10</v>
      </c>
      <c r="J96" s="182">
        <v>10</v>
      </c>
      <c r="K96" s="182">
        <v>10</v>
      </c>
      <c r="L96" s="182">
        <v>10</v>
      </c>
      <c r="M96" s="165">
        <v>0</v>
      </c>
      <c r="N96" s="16" t="str">
        <f t="shared" ref="N96:N127" si="11">IF(AND(B96&lt;&gt;0,VFLAW_WELD_ARdefault="no"),IF(SUM(C96:M96)=100,"","Sum must equal 100%"),"")</f>
        <v/>
      </c>
    </row>
    <row r="97" spans="1:14" s="15" customFormat="1" x14ac:dyDescent="0.25">
      <c r="A97" s="122">
        <f t="shared" si="10"/>
        <v>66</v>
      </c>
      <c r="B97" s="165">
        <v>0.15625</v>
      </c>
      <c r="C97" s="181">
        <v>10</v>
      </c>
      <c r="D97" s="182">
        <v>10</v>
      </c>
      <c r="E97" s="182">
        <v>10</v>
      </c>
      <c r="F97" s="182">
        <v>10</v>
      </c>
      <c r="G97" s="182">
        <v>10</v>
      </c>
      <c r="H97" s="182">
        <v>10</v>
      </c>
      <c r="I97" s="182">
        <v>10</v>
      </c>
      <c r="J97" s="182">
        <v>10</v>
      </c>
      <c r="K97" s="182">
        <v>10</v>
      </c>
      <c r="L97" s="182">
        <v>10</v>
      </c>
      <c r="M97" s="165">
        <v>0</v>
      </c>
      <c r="N97" s="16" t="str">
        <f t="shared" si="11"/>
        <v/>
      </c>
    </row>
    <row r="98" spans="1:14" s="15" customFormat="1" x14ac:dyDescent="0.25">
      <c r="A98" s="122">
        <f t="shared" si="10"/>
        <v>67</v>
      </c>
      <c r="B98" s="165">
        <v>7.8125E-2</v>
      </c>
      <c r="C98" s="181">
        <v>10</v>
      </c>
      <c r="D98" s="182">
        <v>10</v>
      </c>
      <c r="E98" s="182">
        <v>10</v>
      </c>
      <c r="F98" s="182">
        <v>10</v>
      </c>
      <c r="G98" s="182">
        <v>10</v>
      </c>
      <c r="H98" s="182">
        <v>10</v>
      </c>
      <c r="I98" s="182">
        <v>10</v>
      </c>
      <c r="J98" s="182">
        <v>10</v>
      </c>
      <c r="K98" s="182">
        <v>10</v>
      </c>
      <c r="L98" s="182">
        <v>10</v>
      </c>
      <c r="M98" s="165">
        <v>0</v>
      </c>
      <c r="N98" s="16" t="str">
        <f t="shared" si="11"/>
        <v/>
      </c>
    </row>
    <row r="99" spans="1:14" s="15" customFormat="1" x14ac:dyDescent="0.25">
      <c r="A99" s="122">
        <f t="shared" si="10"/>
        <v>68</v>
      </c>
      <c r="B99" s="165">
        <v>3.90625E-2</v>
      </c>
      <c r="C99" s="181">
        <v>10</v>
      </c>
      <c r="D99" s="182">
        <v>10</v>
      </c>
      <c r="E99" s="182">
        <v>10</v>
      </c>
      <c r="F99" s="182">
        <v>10</v>
      </c>
      <c r="G99" s="182">
        <v>10</v>
      </c>
      <c r="H99" s="182">
        <v>10</v>
      </c>
      <c r="I99" s="182">
        <v>10</v>
      </c>
      <c r="J99" s="182">
        <v>10</v>
      </c>
      <c r="K99" s="182">
        <v>10</v>
      </c>
      <c r="L99" s="182">
        <v>10</v>
      </c>
      <c r="M99" s="165">
        <v>0</v>
      </c>
      <c r="N99" s="16" t="str">
        <f t="shared" si="11"/>
        <v/>
      </c>
    </row>
    <row r="100" spans="1:14" s="15" customFormat="1" x14ac:dyDescent="0.25">
      <c r="A100" s="122">
        <f t="shared" si="10"/>
        <v>69</v>
      </c>
      <c r="B100" s="165">
        <v>1.953125E-2</v>
      </c>
      <c r="C100" s="181">
        <v>10</v>
      </c>
      <c r="D100" s="182">
        <v>10</v>
      </c>
      <c r="E100" s="182">
        <v>10</v>
      </c>
      <c r="F100" s="182">
        <v>10</v>
      </c>
      <c r="G100" s="182">
        <v>10</v>
      </c>
      <c r="H100" s="182">
        <v>10</v>
      </c>
      <c r="I100" s="182">
        <v>10</v>
      </c>
      <c r="J100" s="182">
        <v>10</v>
      </c>
      <c r="K100" s="182">
        <v>10</v>
      </c>
      <c r="L100" s="182">
        <v>10</v>
      </c>
      <c r="M100" s="165">
        <v>0</v>
      </c>
      <c r="N100" s="16" t="str">
        <f t="shared" si="11"/>
        <v/>
      </c>
    </row>
    <row r="101" spans="1:14" s="15" customFormat="1" x14ac:dyDescent="0.25">
      <c r="A101" s="122">
        <f t="shared" si="10"/>
        <v>70</v>
      </c>
      <c r="B101" s="165">
        <v>1.953125E-2</v>
      </c>
      <c r="C101" s="181">
        <v>10</v>
      </c>
      <c r="D101" s="182">
        <v>10</v>
      </c>
      <c r="E101" s="182">
        <v>10</v>
      </c>
      <c r="F101" s="182">
        <v>10</v>
      </c>
      <c r="G101" s="182">
        <v>10</v>
      </c>
      <c r="H101" s="182">
        <v>10</v>
      </c>
      <c r="I101" s="182">
        <v>10</v>
      </c>
      <c r="J101" s="182">
        <v>10</v>
      </c>
      <c r="K101" s="182">
        <v>10</v>
      </c>
      <c r="L101" s="182">
        <v>10</v>
      </c>
      <c r="M101" s="165">
        <v>0</v>
      </c>
      <c r="N101" s="16" t="str">
        <f t="shared" si="11"/>
        <v/>
      </c>
    </row>
    <row r="102" spans="1:14" s="15" customFormat="1" x14ac:dyDescent="0.25">
      <c r="A102" s="122">
        <f t="shared" si="10"/>
        <v>71</v>
      </c>
      <c r="B102" s="165">
        <v>5</v>
      </c>
      <c r="C102" s="181">
        <v>10</v>
      </c>
      <c r="D102" s="182">
        <v>10</v>
      </c>
      <c r="E102" s="182">
        <v>10</v>
      </c>
      <c r="F102" s="182">
        <v>10</v>
      </c>
      <c r="G102" s="182">
        <v>10</v>
      </c>
      <c r="H102" s="182">
        <v>10</v>
      </c>
      <c r="I102" s="182">
        <v>10</v>
      </c>
      <c r="J102" s="182">
        <v>10</v>
      </c>
      <c r="K102" s="182">
        <v>10</v>
      </c>
      <c r="L102" s="182">
        <v>10</v>
      </c>
      <c r="M102" s="165">
        <v>0</v>
      </c>
      <c r="N102" s="16" t="str">
        <f t="shared" si="11"/>
        <v/>
      </c>
    </row>
    <row r="103" spans="1:14" s="15" customFormat="1" x14ac:dyDescent="0.25">
      <c r="A103" s="122">
        <f t="shared" si="10"/>
        <v>72</v>
      </c>
      <c r="B103" s="165">
        <v>2.5</v>
      </c>
      <c r="C103" s="181">
        <v>10</v>
      </c>
      <c r="D103" s="182">
        <v>10</v>
      </c>
      <c r="E103" s="182">
        <v>10</v>
      </c>
      <c r="F103" s="182">
        <v>10</v>
      </c>
      <c r="G103" s="182">
        <v>10</v>
      </c>
      <c r="H103" s="182">
        <v>10</v>
      </c>
      <c r="I103" s="182">
        <v>10</v>
      </c>
      <c r="J103" s="182">
        <v>10</v>
      </c>
      <c r="K103" s="182">
        <v>10</v>
      </c>
      <c r="L103" s="182">
        <v>10</v>
      </c>
      <c r="M103" s="165">
        <v>0</v>
      </c>
      <c r="N103" s="16" t="str">
        <f t="shared" si="11"/>
        <v/>
      </c>
    </row>
    <row r="104" spans="1:14" s="15" customFormat="1" x14ac:dyDescent="0.25">
      <c r="A104" s="122">
        <f t="shared" si="10"/>
        <v>73</v>
      </c>
      <c r="B104" s="165">
        <v>1.25</v>
      </c>
      <c r="C104" s="181">
        <v>10</v>
      </c>
      <c r="D104" s="182">
        <v>10</v>
      </c>
      <c r="E104" s="182">
        <v>10</v>
      </c>
      <c r="F104" s="182">
        <v>10</v>
      </c>
      <c r="G104" s="182">
        <v>10</v>
      </c>
      <c r="H104" s="182">
        <v>10</v>
      </c>
      <c r="I104" s="182">
        <v>10</v>
      </c>
      <c r="J104" s="182">
        <v>10</v>
      </c>
      <c r="K104" s="182">
        <v>10</v>
      </c>
      <c r="L104" s="182">
        <v>10</v>
      </c>
      <c r="M104" s="165">
        <v>0</v>
      </c>
      <c r="N104" s="16" t="str">
        <f t="shared" si="11"/>
        <v/>
      </c>
    </row>
    <row r="105" spans="1:14" s="15" customFormat="1" x14ac:dyDescent="0.25">
      <c r="A105" s="122">
        <f t="shared" si="10"/>
        <v>74</v>
      </c>
      <c r="B105" s="165">
        <v>0.625</v>
      </c>
      <c r="C105" s="181">
        <v>10</v>
      </c>
      <c r="D105" s="182">
        <v>10</v>
      </c>
      <c r="E105" s="182">
        <v>10</v>
      </c>
      <c r="F105" s="182">
        <v>10</v>
      </c>
      <c r="G105" s="182">
        <v>10</v>
      </c>
      <c r="H105" s="182">
        <v>10</v>
      </c>
      <c r="I105" s="182">
        <v>10</v>
      </c>
      <c r="J105" s="182">
        <v>10</v>
      </c>
      <c r="K105" s="182">
        <v>10</v>
      </c>
      <c r="L105" s="182">
        <v>10</v>
      </c>
      <c r="M105" s="165">
        <v>0</v>
      </c>
      <c r="N105" s="16" t="str">
        <f t="shared" si="11"/>
        <v/>
      </c>
    </row>
    <row r="106" spans="1:14" s="15" customFormat="1" x14ac:dyDescent="0.25">
      <c r="A106" s="122">
        <f t="shared" si="10"/>
        <v>75</v>
      </c>
      <c r="B106" s="165">
        <v>0.3125</v>
      </c>
      <c r="C106" s="181">
        <v>10</v>
      </c>
      <c r="D106" s="182">
        <v>10</v>
      </c>
      <c r="E106" s="182">
        <v>10</v>
      </c>
      <c r="F106" s="182">
        <v>10</v>
      </c>
      <c r="G106" s="182">
        <v>10</v>
      </c>
      <c r="H106" s="182">
        <v>10</v>
      </c>
      <c r="I106" s="182">
        <v>10</v>
      </c>
      <c r="J106" s="182">
        <v>10</v>
      </c>
      <c r="K106" s="182">
        <v>10</v>
      </c>
      <c r="L106" s="182">
        <v>10</v>
      </c>
      <c r="M106" s="165">
        <v>0</v>
      </c>
      <c r="N106" s="16" t="str">
        <f t="shared" si="11"/>
        <v/>
      </c>
    </row>
    <row r="107" spans="1:14" s="15" customFormat="1" x14ac:dyDescent="0.25">
      <c r="A107" s="122">
        <f t="shared" si="10"/>
        <v>76</v>
      </c>
      <c r="B107" s="165">
        <v>0.15625</v>
      </c>
      <c r="C107" s="181">
        <v>10</v>
      </c>
      <c r="D107" s="182">
        <v>10</v>
      </c>
      <c r="E107" s="182">
        <v>10</v>
      </c>
      <c r="F107" s="182">
        <v>10</v>
      </c>
      <c r="G107" s="182">
        <v>10</v>
      </c>
      <c r="H107" s="182">
        <v>10</v>
      </c>
      <c r="I107" s="182">
        <v>10</v>
      </c>
      <c r="J107" s="182">
        <v>10</v>
      </c>
      <c r="K107" s="182">
        <v>10</v>
      </c>
      <c r="L107" s="182">
        <v>10</v>
      </c>
      <c r="M107" s="165">
        <v>0</v>
      </c>
      <c r="N107" s="16" t="str">
        <f t="shared" si="11"/>
        <v/>
      </c>
    </row>
    <row r="108" spans="1:14" s="15" customFormat="1" x14ac:dyDescent="0.25">
      <c r="A108" s="122">
        <f t="shared" si="10"/>
        <v>77</v>
      </c>
      <c r="B108" s="165">
        <v>7.8125E-2</v>
      </c>
      <c r="C108" s="181">
        <v>10</v>
      </c>
      <c r="D108" s="182">
        <v>10</v>
      </c>
      <c r="E108" s="182">
        <v>10</v>
      </c>
      <c r="F108" s="182">
        <v>10</v>
      </c>
      <c r="G108" s="182">
        <v>10</v>
      </c>
      <c r="H108" s="182">
        <v>10</v>
      </c>
      <c r="I108" s="182">
        <v>10</v>
      </c>
      <c r="J108" s="182">
        <v>10</v>
      </c>
      <c r="K108" s="182">
        <v>10</v>
      </c>
      <c r="L108" s="182">
        <v>10</v>
      </c>
      <c r="M108" s="165">
        <v>0</v>
      </c>
      <c r="N108" s="16" t="str">
        <f t="shared" si="11"/>
        <v/>
      </c>
    </row>
    <row r="109" spans="1:14" s="15" customFormat="1" x14ac:dyDescent="0.25">
      <c r="A109" s="122">
        <f t="shared" si="10"/>
        <v>78</v>
      </c>
      <c r="B109" s="165">
        <v>3.90625E-2</v>
      </c>
      <c r="C109" s="181">
        <v>10</v>
      </c>
      <c r="D109" s="182">
        <v>10</v>
      </c>
      <c r="E109" s="182">
        <v>10</v>
      </c>
      <c r="F109" s="182">
        <v>10</v>
      </c>
      <c r="G109" s="182">
        <v>10</v>
      </c>
      <c r="H109" s="182">
        <v>10</v>
      </c>
      <c r="I109" s="182">
        <v>10</v>
      </c>
      <c r="J109" s="182">
        <v>10</v>
      </c>
      <c r="K109" s="182">
        <v>10</v>
      </c>
      <c r="L109" s="182">
        <v>10</v>
      </c>
      <c r="M109" s="165">
        <v>0</v>
      </c>
      <c r="N109" s="16" t="str">
        <f t="shared" si="11"/>
        <v/>
      </c>
    </row>
    <row r="110" spans="1:14" s="15" customFormat="1" x14ac:dyDescent="0.25">
      <c r="A110" s="122">
        <f t="shared" si="10"/>
        <v>79</v>
      </c>
      <c r="B110" s="165">
        <v>1.953125E-2</v>
      </c>
      <c r="C110" s="181">
        <v>10</v>
      </c>
      <c r="D110" s="182">
        <v>10</v>
      </c>
      <c r="E110" s="182">
        <v>10</v>
      </c>
      <c r="F110" s="182">
        <v>10</v>
      </c>
      <c r="G110" s="182">
        <v>10</v>
      </c>
      <c r="H110" s="182">
        <v>10</v>
      </c>
      <c r="I110" s="182">
        <v>10</v>
      </c>
      <c r="J110" s="182">
        <v>10</v>
      </c>
      <c r="K110" s="182">
        <v>10</v>
      </c>
      <c r="L110" s="182">
        <v>10</v>
      </c>
      <c r="M110" s="165">
        <v>0</v>
      </c>
      <c r="N110" s="16" t="str">
        <f t="shared" si="11"/>
        <v/>
      </c>
    </row>
    <row r="111" spans="1:14" s="15" customFormat="1" x14ac:dyDescent="0.25">
      <c r="A111" s="122">
        <f t="shared" si="10"/>
        <v>80</v>
      </c>
      <c r="B111" s="165">
        <v>1.953125E-2</v>
      </c>
      <c r="C111" s="181">
        <v>10</v>
      </c>
      <c r="D111" s="182">
        <v>10</v>
      </c>
      <c r="E111" s="182">
        <v>10</v>
      </c>
      <c r="F111" s="182">
        <v>10</v>
      </c>
      <c r="G111" s="182">
        <v>10</v>
      </c>
      <c r="H111" s="182">
        <v>10</v>
      </c>
      <c r="I111" s="182">
        <v>10</v>
      </c>
      <c r="J111" s="182">
        <v>10</v>
      </c>
      <c r="K111" s="182">
        <v>10</v>
      </c>
      <c r="L111" s="182">
        <v>10</v>
      </c>
      <c r="M111" s="165">
        <v>0</v>
      </c>
      <c r="N111" s="16" t="str">
        <f t="shared" si="11"/>
        <v/>
      </c>
    </row>
    <row r="112" spans="1:14" s="15" customFormat="1" x14ac:dyDescent="0.25">
      <c r="A112" s="122">
        <f t="shared" si="10"/>
        <v>81</v>
      </c>
      <c r="B112" s="165">
        <v>5</v>
      </c>
      <c r="C112" s="181">
        <v>10</v>
      </c>
      <c r="D112" s="182">
        <v>10</v>
      </c>
      <c r="E112" s="182">
        <v>10</v>
      </c>
      <c r="F112" s="182">
        <v>10</v>
      </c>
      <c r="G112" s="182">
        <v>10</v>
      </c>
      <c r="H112" s="182">
        <v>10</v>
      </c>
      <c r="I112" s="182">
        <v>10</v>
      </c>
      <c r="J112" s="182">
        <v>10</v>
      </c>
      <c r="K112" s="182">
        <v>10</v>
      </c>
      <c r="L112" s="182">
        <v>10</v>
      </c>
      <c r="M112" s="165">
        <v>0</v>
      </c>
      <c r="N112" s="16" t="str">
        <f t="shared" si="11"/>
        <v/>
      </c>
    </row>
    <row r="113" spans="1:14" s="15" customFormat="1" x14ac:dyDescent="0.25">
      <c r="A113" s="122">
        <f t="shared" si="10"/>
        <v>82</v>
      </c>
      <c r="B113" s="165">
        <v>2.5</v>
      </c>
      <c r="C113" s="181">
        <v>10</v>
      </c>
      <c r="D113" s="182">
        <v>10</v>
      </c>
      <c r="E113" s="182">
        <v>10</v>
      </c>
      <c r="F113" s="182">
        <v>10</v>
      </c>
      <c r="G113" s="182">
        <v>10</v>
      </c>
      <c r="H113" s="182">
        <v>10</v>
      </c>
      <c r="I113" s="182">
        <v>10</v>
      </c>
      <c r="J113" s="182">
        <v>10</v>
      </c>
      <c r="K113" s="182">
        <v>10</v>
      </c>
      <c r="L113" s="182">
        <v>10</v>
      </c>
      <c r="M113" s="165">
        <v>0</v>
      </c>
      <c r="N113" s="16" t="str">
        <f t="shared" si="11"/>
        <v/>
      </c>
    </row>
    <row r="114" spans="1:14" s="15" customFormat="1" x14ac:dyDescent="0.25">
      <c r="A114" s="122">
        <f t="shared" si="10"/>
        <v>83</v>
      </c>
      <c r="B114" s="165">
        <v>1.25</v>
      </c>
      <c r="C114" s="181">
        <v>10</v>
      </c>
      <c r="D114" s="182">
        <v>10</v>
      </c>
      <c r="E114" s="182">
        <v>10</v>
      </c>
      <c r="F114" s="182">
        <v>10</v>
      </c>
      <c r="G114" s="182">
        <v>10</v>
      </c>
      <c r="H114" s="182">
        <v>10</v>
      </c>
      <c r="I114" s="182">
        <v>10</v>
      </c>
      <c r="J114" s="182">
        <v>10</v>
      </c>
      <c r="K114" s="182">
        <v>10</v>
      </c>
      <c r="L114" s="182">
        <v>10</v>
      </c>
      <c r="M114" s="165">
        <v>0</v>
      </c>
      <c r="N114" s="16" t="str">
        <f t="shared" si="11"/>
        <v/>
      </c>
    </row>
    <row r="115" spans="1:14" s="15" customFormat="1" x14ac:dyDescent="0.25">
      <c r="A115" s="122">
        <f t="shared" si="10"/>
        <v>84</v>
      </c>
      <c r="B115" s="165">
        <v>0.625</v>
      </c>
      <c r="C115" s="181">
        <v>10</v>
      </c>
      <c r="D115" s="182">
        <v>10</v>
      </c>
      <c r="E115" s="182">
        <v>10</v>
      </c>
      <c r="F115" s="182">
        <v>10</v>
      </c>
      <c r="G115" s="182">
        <v>10</v>
      </c>
      <c r="H115" s="182">
        <v>10</v>
      </c>
      <c r="I115" s="182">
        <v>10</v>
      </c>
      <c r="J115" s="182">
        <v>10</v>
      </c>
      <c r="K115" s="182">
        <v>10</v>
      </c>
      <c r="L115" s="182">
        <v>10</v>
      </c>
      <c r="M115" s="165">
        <v>0</v>
      </c>
      <c r="N115" s="16" t="str">
        <f t="shared" si="11"/>
        <v/>
      </c>
    </row>
    <row r="116" spans="1:14" s="15" customFormat="1" x14ac:dyDescent="0.25">
      <c r="A116" s="122">
        <f t="shared" si="10"/>
        <v>85</v>
      </c>
      <c r="B116" s="165">
        <v>0.3125</v>
      </c>
      <c r="C116" s="181">
        <v>10</v>
      </c>
      <c r="D116" s="182">
        <v>10</v>
      </c>
      <c r="E116" s="182">
        <v>10</v>
      </c>
      <c r="F116" s="182">
        <v>10</v>
      </c>
      <c r="G116" s="182">
        <v>10</v>
      </c>
      <c r="H116" s="182">
        <v>10</v>
      </c>
      <c r="I116" s="182">
        <v>10</v>
      </c>
      <c r="J116" s="182">
        <v>10</v>
      </c>
      <c r="K116" s="182">
        <v>10</v>
      </c>
      <c r="L116" s="182">
        <v>10</v>
      </c>
      <c r="M116" s="165">
        <v>0</v>
      </c>
      <c r="N116" s="16" t="str">
        <f t="shared" si="11"/>
        <v/>
      </c>
    </row>
    <row r="117" spans="1:14" s="15" customFormat="1" x14ac:dyDescent="0.25">
      <c r="A117" s="122">
        <f t="shared" si="10"/>
        <v>86</v>
      </c>
      <c r="B117" s="165">
        <v>0.15625</v>
      </c>
      <c r="C117" s="181">
        <v>10</v>
      </c>
      <c r="D117" s="182">
        <v>10</v>
      </c>
      <c r="E117" s="182">
        <v>10</v>
      </c>
      <c r="F117" s="182">
        <v>10</v>
      </c>
      <c r="G117" s="182">
        <v>10</v>
      </c>
      <c r="H117" s="182">
        <v>10</v>
      </c>
      <c r="I117" s="182">
        <v>10</v>
      </c>
      <c r="J117" s="182">
        <v>10</v>
      </c>
      <c r="K117" s="182">
        <v>10</v>
      </c>
      <c r="L117" s="182">
        <v>10</v>
      </c>
      <c r="M117" s="165">
        <v>0</v>
      </c>
      <c r="N117" s="16" t="str">
        <f t="shared" si="11"/>
        <v/>
      </c>
    </row>
    <row r="118" spans="1:14" s="15" customFormat="1" x14ac:dyDescent="0.25">
      <c r="A118" s="122">
        <f t="shared" si="10"/>
        <v>87</v>
      </c>
      <c r="B118" s="165">
        <v>7.8125E-2</v>
      </c>
      <c r="C118" s="181">
        <v>10</v>
      </c>
      <c r="D118" s="182">
        <v>10</v>
      </c>
      <c r="E118" s="182">
        <v>10</v>
      </c>
      <c r="F118" s="182">
        <v>10</v>
      </c>
      <c r="G118" s="182">
        <v>10</v>
      </c>
      <c r="H118" s="182">
        <v>10</v>
      </c>
      <c r="I118" s="182">
        <v>10</v>
      </c>
      <c r="J118" s="182">
        <v>10</v>
      </c>
      <c r="K118" s="182">
        <v>10</v>
      </c>
      <c r="L118" s="182">
        <v>10</v>
      </c>
      <c r="M118" s="165">
        <v>0</v>
      </c>
      <c r="N118" s="16" t="str">
        <f t="shared" si="11"/>
        <v/>
      </c>
    </row>
    <row r="119" spans="1:14" s="15" customFormat="1" x14ac:dyDescent="0.25">
      <c r="A119" s="122">
        <f t="shared" si="10"/>
        <v>88</v>
      </c>
      <c r="B119" s="165">
        <v>3.90625E-2</v>
      </c>
      <c r="C119" s="181">
        <v>10</v>
      </c>
      <c r="D119" s="182">
        <v>10</v>
      </c>
      <c r="E119" s="182">
        <v>10</v>
      </c>
      <c r="F119" s="182">
        <v>10</v>
      </c>
      <c r="G119" s="182">
        <v>10</v>
      </c>
      <c r="H119" s="182">
        <v>10</v>
      </c>
      <c r="I119" s="182">
        <v>10</v>
      </c>
      <c r="J119" s="182">
        <v>10</v>
      </c>
      <c r="K119" s="182">
        <v>10</v>
      </c>
      <c r="L119" s="182">
        <v>10</v>
      </c>
      <c r="M119" s="165">
        <v>0</v>
      </c>
      <c r="N119" s="16" t="str">
        <f t="shared" si="11"/>
        <v/>
      </c>
    </row>
    <row r="120" spans="1:14" s="15" customFormat="1" x14ac:dyDescent="0.25">
      <c r="A120" s="122">
        <f t="shared" si="10"/>
        <v>89</v>
      </c>
      <c r="B120" s="165">
        <v>1.953125E-2</v>
      </c>
      <c r="C120" s="181">
        <v>10</v>
      </c>
      <c r="D120" s="182">
        <v>10</v>
      </c>
      <c r="E120" s="182">
        <v>10</v>
      </c>
      <c r="F120" s="182">
        <v>10</v>
      </c>
      <c r="G120" s="182">
        <v>10</v>
      </c>
      <c r="H120" s="182">
        <v>10</v>
      </c>
      <c r="I120" s="182">
        <v>10</v>
      </c>
      <c r="J120" s="182">
        <v>10</v>
      </c>
      <c r="K120" s="182">
        <v>10</v>
      </c>
      <c r="L120" s="182">
        <v>10</v>
      </c>
      <c r="M120" s="165">
        <v>0</v>
      </c>
      <c r="N120" s="16" t="str">
        <f t="shared" si="11"/>
        <v/>
      </c>
    </row>
    <row r="121" spans="1:14" s="15" customFormat="1" x14ac:dyDescent="0.25">
      <c r="A121" s="122">
        <f t="shared" si="10"/>
        <v>90</v>
      </c>
      <c r="B121" s="165">
        <v>1.953125E-2</v>
      </c>
      <c r="C121" s="181">
        <v>10</v>
      </c>
      <c r="D121" s="182">
        <v>10</v>
      </c>
      <c r="E121" s="182">
        <v>10</v>
      </c>
      <c r="F121" s="182">
        <v>10</v>
      </c>
      <c r="G121" s="182">
        <v>10</v>
      </c>
      <c r="H121" s="182">
        <v>10</v>
      </c>
      <c r="I121" s="182">
        <v>10</v>
      </c>
      <c r="J121" s="182">
        <v>10</v>
      </c>
      <c r="K121" s="182">
        <v>10</v>
      </c>
      <c r="L121" s="182">
        <v>10</v>
      </c>
      <c r="M121" s="165">
        <v>0</v>
      </c>
      <c r="N121" s="16" t="str">
        <f t="shared" si="11"/>
        <v/>
      </c>
    </row>
    <row r="122" spans="1:14" s="15" customFormat="1" x14ac:dyDescent="0.25">
      <c r="A122" s="122">
        <f t="shared" si="10"/>
        <v>91</v>
      </c>
      <c r="B122" s="165">
        <v>5</v>
      </c>
      <c r="C122" s="181">
        <v>10</v>
      </c>
      <c r="D122" s="182">
        <v>10</v>
      </c>
      <c r="E122" s="182">
        <v>10</v>
      </c>
      <c r="F122" s="182">
        <v>10</v>
      </c>
      <c r="G122" s="182">
        <v>10</v>
      </c>
      <c r="H122" s="182">
        <v>10</v>
      </c>
      <c r="I122" s="182">
        <v>10</v>
      </c>
      <c r="J122" s="182">
        <v>10</v>
      </c>
      <c r="K122" s="182">
        <v>10</v>
      </c>
      <c r="L122" s="182">
        <v>10</v>
      </c>
      <c r="M122" s="165">
        <v>0</v>
      </c>
      <c r="N122" s="16" t="str">
        <f t="shared" si="11"/>
        <v/>
      </c>
    </row>
    <row r="123" spans="1:14" s="15" customFormat="1" x14ac:dyDescent="0.25">
      <c r="A123" s="122">
        <f t="shared" si="10"/>
        <v>92</v>
      </c>
      <c r="B123" s="165">
        <v>2.5</v>
      </c>
      <c r="C123" s="181">
        <v>10</v>
      </c>
      <c r="D123" s="182">
        <v>10</v>
      </c>
      <c r="E123" s="182">
        <v>10</v>
      </c>
      <c r="F123" s="182">
        <v>10</v>
      </c>
      <c r="G123" s="182">
        <v>10</v>
      </c>
      <c r="H123" s="182">
        <v>10</v>
      </c>
      <c r="I123" s="182">
        <v>10</v>
      </c>
      <c r="J123" s="182">
        <v>10</v>
      </c>
      <c r="K123" s="182">
        <v>10</v>
      </c>
      <c r="L123" s="182">
        <v>10</v>
      </c>
      <c r="M123" s="165">
        <v>0</v>
      </c>
      <c r="N123" s="16" t="str">
        <f t="shared" si="11"/>
        <v/>
      </c>
    </row>
    <row r="124" spans="1:14" s="15" customFormat="1" x14ac:dyDescent="0.25">
      <c r="A124" s="122">
        <f t="shared" si="10"/>
        <v>93</v>
      </c>
      <c r="B124" s="165">
        <v>1.25</v>
      </c>
      <c r="C124" s="181">
        <v>10</v>
      </c>
      <c r="D124" s="182">
        <v>10</v>
      </c>
      <c r="E124" s="182">
        <v>10</v>
      </c>
      <c r="F124" s="182">
        <v>10</v>
      </c>
      <c r="G124" s="182">
        <v>10</v>
      </c>
      <c r="H124" s="182">
        <v>10</v>
      </c>
      <c r="I124" s="182">
        <v>10</v>
      </c>
      <c r="J124" s="182">
        <v>10</v>
      </c>
      <c r="K124" s="182">
        <v>10</v>
      </c>
      <c r="L124" s="182">
        <v>10</v>
      </c>
      <c r="M124" s="165">
        <v>0</v>
      </c>
      <c r="N124" s="16" t="str">
        <f t="shared" si="11"/>
        <v/>
      </c>
    </row>
    <row r="125" spans="1:14" s="15" customFormat="1" x14ac:dyDescent="0.25">
      <c r="A125" s="122">
        <f t="shared" si="10"/>
        <v>94</v>
      </c>
      <c r="B125" s="165">
        <v>0.625</v>
      </c>
      <c r="C125" s="181">
        <v>10</v>
      </c>
      <c r="D125" s="182">
        <v>10</v>
      </c>
      <c r="E125" s="182">
        <v>10</v>
      </c>
      <c r="F125" s="182">
        <v>10</v>
      </c>
      <c r="G125" s="182">
        <v>10</v>
      </c>
      <c r="H125" s="182">
        <v>10</v>
      </c>
      <c r="I125" s="182">
        <v>10</v>
      </c>
      <c r="J125" s="182">
        <v>10</v>
      </c>
      <c r="K125" s="182">
        <v>10</v>
      </c>
      <c r="L125" s="182">
        <v>10</v>
      </c>
      <c r="M125" s="165">
        <v>0</v>
      </c>
      <c r="N125" s="16" t="str">
        <f t="shared" si="11"/>
        <v/>
      </c>
    </row>
    <row r="126" spans="1:14" s="15" customFormat="1" x14ac:dyDescent="0.25">
      <c r="A126" s="122">
        <f t="shared" si="10"/>
        <v>95</v>
      </c>
      <c r="B126" s="165">
        <v>0.3125</v>
      </c>
      <c r="C126" s="181">
        <v>10</v>
      </c>
      <c r="D126" s="182">
        <v>10</v>
      </c>
      <c r="E126" s="182">
        <v>10</v>
      </c>
      <c r="F126" s="182">
        <v>10</v>
      </c>
      <c r="G126" s="182">
        <v>10</v>
      </c>
      <c r="H126" s="182">
        <v>10</v>
      </c>
      <c r="I126" s="182">
        <v>10</v>
      </c>
      <c r="J126" s="182">
        <v>10</v>
      </c>
      <c r="K126" s="182">
        <v>10</v>
      </c>
      <c r="L126" s="182">
        <v>10</v>
      </c>
      <c r="M126" s="165">
        <v>0</v>
      </c>
      <c r="N126" s="16" t="str">
        <f t="shared" si="11"/>
        <v/>
      </c>
    </row>
    <row r="127" spans="1:14" s="15" customFormat="1" x14ac:dyDescent="0.25">
      <c r="A127" s="122">
        <f t="shared" si="10"/>
        <v>96</v>
      </c>
      <c r="B127" s="165">
        <v>0.15625</v>
      </c>
      <c r="C127" s="181">
        <v>10</v>
      </c>
      <c r="D127" s="182">
        <v>10</v>
      </c>
      <c r="E127" s="182">
        <v>10</v>
      </c>
      <c r="F127" s="182">
        <v>10</v>
      </c>
      <c r="G127" s="182">
        <v>10</v>
      </c>
      <c r="H127" s="182">
        <v>10</v>
      </c>
      <c r="I127" s="182">
        <v>10</v>
      </c>
      <c r="J127" s="182">
        <v>10</v>
      </c>
      <c r="K127" s="182">
        <v>10</v>
      </c>
      <c r="L127" s="182">
        <v>10</v>
      </c>
      <c r="M127" s="165">
        <v>0</v>
      </c>
      <c r="N127" s="16" t="str">
        <f t="shared" si="11"/>
        <v/>
      </c>
    </row>
    <row r="128" spans="1:14" s="15" customFormat="1" x14ac:dyDescent="0.25">
      <c r="A128" s="122">
        <f t="shared" si="10"/>
        <v>97</v>
      </c>
      <c r="B128" s="165">
        <v>7.8125E-2</v>
      </c>
      <c r="C128" s="181">
        <v>10</v>
      </c>
      <c r="D128" s="182">
        <v>10</v>
      </c>
      <c r="E128" s="182">
        <v>10</v>
      </c>
      <c r="F128" s="182">
        <v>10</v>
      </c>
      <c r="G128" s="182">
        <v>10</v>
      </c>
      <c r="H128" s="182">
        <v>10</v>
      </c>
      <c r="I128" s="182">
        <v>10</v>
      </c>
      <c r="J128" s="182">
        <v>10</v>
      </c>
      <c r="K128" s="182">
        <v>10</v>
      </c>
      <c r="L128" s="182">
        <v>10</v>
      </c>
      <c r="M128" s="165">
        <v>0</v>
      </c>
      <c r="N128" s="16" t="str">
        <f t="shared" ref="N128:N131" si="12">IF(AND(B128&lt;&gt;0,VFLAW_WELD_ARdefault="no"),IF(SUM(C128:M128)=100,"","Sum must equal 100%"),"")</f>
        <v/>
      </c>
    </row>
    <row r="129" spans="1:14" s="15" customFormat="1" x14ac:dyDescent="0.25">
      <c r="A129" s="122">
        <f t="shared" si="10"/>
        <v>98</v>
      </c>
      <c r="B129" s="165">
        <v>3.90625E-2</v>
      </c>
      <c r="C129" s="181">
        <v>10</v>
      </c>
      <c r="D129" s="182">
        <v>10</v>
      </c>
      <c r="E129" s="182">
        <v>10</v>
      </c>
      <c r="F129" s="182">
        <v>10</v>
      </c>
      <c r="G129" s="182">
        <v>10</v>
      </c>
      <c r="H129" s="182">
        <v>10</v>
      </c>
      <c r="I129" s="182">
        <v>10</v>
      </c>
      <c r="J129" s="182">
        <v>10</v>
      </c>
      <c r="K129" s="182">
        <v>10</v>
      </c>
      <c r="L129" s="182">
        <v>10</v>
      </c>
      <c r="M129" s="165">
        <v>0</v>
      </c>
      <c r="N129" s="16" t="str">
        <f t="shared" si="12"/>
        <v/>
      </c>
    </row>
    <row r="130" spans="1:14" s="15" customFormat="1" x14ac:dyDescent="0.25">
      <c r="A130" s="122">
        <f t="shared" si="10"/>
        <v>99</v>
      </c>
      <c r="B130" s="165">
        <v>1.953125E-2</v>
      </c>
      <c r="C130" s="181">
        <v>10</v>
      </c>
      <c r="D130" s="182">
        <v>10</v>
      </c>
      <c r="E130" s="182">
        <v>10</v>
      </c>
      <c r="F130" s="182">
        <v>10</v>
      </c>
      <c r="G130" s="182">
        <v>10</v>
      </c>
      <c r="H130" s="182">
        <v>10</v>
      </c>
      <c r="I130" s="182">
        <v>10</v>
      </c>
      <c r="J130" s="182">
        <v>10</v>
      </c>
      <c r="K130" s="182">
        <v>10</v>
      </c>
      <c r="L130" s="182">
        <v>10</v>
      </c>
      <c r="M130" s="165">
        <v>0</v>
      </c>
      <c r="N130" s="16" t="str">
        <f t="shared" si="12"/>
        <v/>
      </c>
    </row>
    <row r="131" spans="1:14" s="15" customFormat="1" ht="15.75" thickBot="1" x14ac:dyDescent="0.3">
      <c r="A131" s="125">
        <f t="shared" si="10"/>
        <v>100</v>
      </c>
      <c r="B131" s="185">
        <v>1.953125E-2</v>
      </c>
      <c r="C131" s="183">
        <v>10</v>
      </c>
      <c r="D131" s="184">
        <v>10</v>
      </c>
      <c r="E131" s="184">
        <v>10</v>
      </c>
      <c r="F131" s="184">
        <v>10</v>
      </c>
      <c r="G131" s="184">
        <v>10</v>
      </c>
      <c r="H131" s="184">
        <v>10</v>
      </c>
      <c r="I131" s="184">
        <v>10</v>
      </c>
      <c r="J131" s="184">
        <v>10</v>
      </c>
      <c r="K131" s="184">
        <v>10</v>
      </c>
      <c r="L131" s="184">
        <v>10</v>
      </c>
      <c r="M131" s="185">
        <v>0</v>
      </c>
      <c r="N131" s="16" t="str">
        <f t="shared" si="12"/>
        <v/>
      </c>
    </row>
    <row r="132" spans="1:14" x14ac:dyDescent="0.25">
      <c r="G132" s="113"/>
      <c r="H132" s="113"/>
      <c r="I132" s="113"/>
      <c r="J132" s="113"/>
      <c r="K132" s="113"/>
      <c r="L132" s="113"/>
    </row>
  </sheetData>
  <sheetProtection sheet="1" objects="1" scenarios="1"/>
  <dataValidations count="3">
    <dataValidation type="list" allowBlank="1" showInputMessage="1" showErrorMessage="1" sqref="B15" xr:uid="{00000000-0002-0000-0B00-000000000000}">
      <formula1>"no,yes"</formula1>
    </dataValidation>
    <dataValidation type="whole" allowBlank="1" showInputMessage="1" showErrorMessage="1" sqref="B12" xr:uid="{00000000-0002-0000-0B00-000001000000}">
      <formula1>1</formula1>
      <formula2>100</formula2>
    </dataValidation>
    <dataValidation type="list" allowBlank="1" showInputMessage="1" showErrorMessage="1" sqref="C7:C10" xr:uid="{00000000-0002-0000-0B00-000002000000}">
      <formula1>"mm,cm,m,in,ft"</formula1>
    </dataValidation>
  </dataValidation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VFLAW_Plate">
    <tabColor theme="7" tint="0.39997558519241921"/>
  </sheetPr>
  <dimension ref="A1:N132"/>
  <sheetViews>
    <sheetView workbookViewId="0"/>
  </sheetViews>
  <sheetFormatPr defaultColWidth="0" defaultRowHeight="15" customHeight="1" zeroHeight="1" x14ac:dyDescent="0.25"/>
  <cols>
    <col min="1" max="1" width="36.85546875" style="123" customWidth="1"/>
    <col min="2" max="6" width="27.140625" style="113" customWidth="1"/>
    <col min="7" max="13" width="27.140625" style="58" customWidth="1"/>
    <col min="14" max="16384" width="4.28515625" style="58" hidden="1"/>
  </cols>
  <sheetData>
    <row r="1" spans="1:10" s="15" customFormat="1" x14ac:dyDescent="0.25">
      <c r="A1" s="14" t="s">
        <v>9</v>
      </c>
      <c r="B1" s="18"/>
      <c r="C1" s="18"/>
      <c r="D1" s="19" t="s">
        <v>128</v>
      </c>
      <c r="E1" s="20"/>
      <c r="F1" s="20"/>
      <c r="G1" s="20"/>
      <c r="H1" s="20"/>
      <c r="I1" s="20"/>
      <c r="J1" s="20"/>
    </row>
    <row r="2" spans="1:10" s="15" customFormat="1" x14ac:dyDescent="0.25">
      <c r="A2" s="1" t="s">
        <v>169</v>
      </c>
      <c r="B2" s="4" t="s">
        <v>172</v>
      </c>
      <c r="C2" s="18"/>
      <c r="D2" s="19"/>
      <c r="E2" s="20"/>
      <c r="F2" s="20"/>
      <c r="G2" s="20"/>
      <c r="H2" s="20"/>
      <c r="I2" s="20"/>
      <c r="J2" s="20"/>
    </row>
    <row r="3" spans="1:10" s="15" customFormat="1" x14ac:dyDescent="0.25">
      <c r="A3" s="1" t="s">
        <v>170</v>
      </c>
      <c r="B3" s="154" t="str">
        <f>VFLAWplateCase&amp;".dat"</f>
        <v>VFLAWplate.dat</v>
      </c>
      <c r="C3" s="18"/>
      <c r="D3" s="19"/>
      <c r="E3" s="20"/>
      <c r="F3" s="20"/>
      <c r="G3" s="20"/>
      <c r="H3" s="20"/>
      <c r="I3" s="20"/>
      <c r="J3" s="20"/>
    </row>
    <row r="4" spans="1:10" s="15" customFormat="1" x14ac:dyDescent="0.25">
      <c r="A4" s="1"/>
      <c r="B4" s="114"/>
      <c r="C4" s="18"/>
      <c r="D4" s="19"/>
      <c r="E4" s="20"/>
      <c r="F4" s="20"/>
      <c r="G4" s="20"/>
      <c r="H4" s="20"/>
      <c r="I4" s="20"/>
      <c r="J4" s="20"/>
    </row>
    <row r="5" spans="1:10" s="15" customFormat="1" x14ac:dyDescent="0.25">
      <c r="A5" s="14" t="str">
        <f>IF(VFLAW_PLATE_OPT="Just One","Flaw distribution for single flaw depth",IF(VFLAW_PLATE_OPT="Several","Flaw distribution for several flaw depths","Do not fill this sheet"))</f>
        <v>Flaw distribution for several flaw depths</v>
      </c>
      <c r="B5" s="18"/>
      <c r="F5" s="20"/>
      <c r="G5" s="20"/>
    </row>
    <row r="6" spans="1:10" s="15" customFormat="1" x14ac:dyDescent="0.25">
      <c r="A6" s="16" t="str">
        <f>IF(VFLAW_PLATE_OPT="None","",IF(VFLAW_PLATE_OPT="Just One","NOTE: All surface flaws assumed to have the same depth","NOTE: Please fill table below"))</f>
        <v>NOTE: Please fill table below</v>
      </c>
      <c r="B6" s="114"/>
      <c r="E6" s="20" t="s">
        <v>171</v>
      </c>
      <c r="F6" s="20"/>
      <c r="G6" s="20"/>
    </row>
    <row r="7" spans="1:10" s="15" customFormat="1" x14ac:dyDescent="0.25">
      <c r="A7" s="1" t="str">
        <f>IF(VFLAW_PLATE_OPT="None","","Vessel Internal Radius")</f>
        <v>Vessel Internal Radius</v>
      </c>
      <c r="B7" s="158">
        <v>86</v>
      </c>
      <c r="C7" s="23" t="s">
        <v>33</v>
      </c>
      <c r="D7" s="16" t="str">
        <f>IF(VFLAW_PLATE_OPT="None","","Should match FAVLoad input")</f>
        <v>Should match FAVLoad input</v>
      </c>
      <c r="E7" s="20" t="s">
        <v>151</v>
      </c>
      <c r="F7" s="159">
        <f>ROUND(IF(C7="mm",B7/25.4,IF(C7="in",B7,IF(C7="m",B7*(100/2.54),IF(C7="cm",B7/2.54,B7*12)))),3)</f>
        <v>86</v>
      </c>
      <c r="G7" s="20" t="s">
        <v>33</v>
      </c>
    </row>
    <row r="8" spans="1:10" s="15" customFormat="1" x14ac:dyDescent="0.25">
      <c r="A8" s="1" t="str">
        <f>IF(VFLAW_PLATE_OPT="None","","Vessel Wall Thickness")</f>
        <v>Vessel Wall Thickness</v>
      </c>
      <c r="B8" s="158">
        <v>8.75</v>
      </c>
      <c r="C8" s="23" t="s">
        <v>33</v>
      </c>
      <c r="D8" s="16" t="str">
        <f>IF(VFLAW_PLATE_OPT="None","","Should match FAVLoad input")</f>
        <v>Should match FAVLoad input</v>
      </c>
      <c r="E8" s="20" t="s">
        <v>152</v>
      </c>
      <c r="F8" s="159">
        <f t="shared" ref="F8:F10" si="0">ROUND(IF(C8="mm",B8/25.4,IF(C8="in",B8,IF(C8="m",B8*(100/2.54),IF(C8="cm",B8/2.54,B8*12)))),3)</f>
        <v>8.75</v>
      </c>
      <c r="G8" s="20" t="s">
        <v>33</v>
      </c>
    </row>
    <row r="9" spans="1:10" s="15" customFormat="1" x14ac:dyDescent="0.25">
      <c r="A9" s="1" t="str">
        <f>IF(VFLAW_PLATE_OPT="None","","Vessel Cladding Thickness")</f>
        <v>Vessel Cladding Thickness</v>
      </c>
      <c r="B9" s="158">
        <v>0.25</v>
      </c>
      <c r="C9" s="23" t="s">
        <v>33</v>
      </c>
      <c r="D9" s="16" t="str">
        <f>IF(VFLAW_PLATE_OPT="None","","Should match FAVLoad input")</f>
        <v>Should match FAVLoad input</v>
      </c>
      <c r="E9" s="20" t="s">
        <v>153</v>
      </c>
      <c r="F9" s="159">
        <f t="shared" si="0"/>
        <v>0.25</v>
      </c>
      <c r="G9" s="20" t="s">
        <v>33</v>
      </c>
    </row>
    <row r="10" spans="1:10" s="15" customFormat="1" x14ac:dyDescent="0.25">
      <c r="A10" s="1" t="str">
        <f>IF(VFLAW_PLATE_OPT="None","","Vessel (or beltline) Height")</f>
        <v>Vessel (or beltline) Height</v>
      </c>
      <c r="B10" s="158">
        <v>156</v>
      </c>
      <c r="C10" s="23" t="s">
        <v>33</v>
      </c>
      <c r="D10" s="16" t="s">
        <v>122</v>
      </c>
      <c r="E10" s="20" t="s">
        <v>154</v>
      </c>
      <c r="F10" s="159">
        <f t="shared" si="0"/>
        <v>156</v>
      </c>
      <c r="G10" s="20" t="s">
        <v>33</v>
      </c>
    </row>
    <row r="11" spans="1:10" s="15" customFormat="1" x14ac:dyDescent="0.25">
      <c r="A11" s="15" t="str">
        <f>IF(VFLAW_PLATE_OPT="None","","Total number of flaws per vessel")</f>
        <v>Total number of flaws per vessel</v>
      </c>
      <c r="B11" s="23">
        <v>1</v>
      </c>
      <c r="C11" s="124"/>
      <c r="D11" s="16" t="str">
        <f>IF(VFLAW_PLATE_OPT="None","","Should match FAVLoad input")</f>
        <v>Should match FAVLoad input</v>
      </c>
      <c r="E11" s="20" t="s">
        <v>155</v>
      </c>
      <c r="F11" s="20">
        <f>B11</f>
        <v>1</v>
      </c>
      <c r="G11" s="20"/>
    </row>
    <row r="12" spans="1:10" s="15" customFormat="1" x14ac:dyDescent="0.25">
      <c r="A12" s="15" t="str">
        <f>IF(VFLAW_PLATE_OPT="Just One","Flaw depth for all plate flaws","")</f>
        <v/>
      </c>
      <c r="B12" s="156">
        <v>5</v>
      </c>
      <c r="C12" s="124" t="s">
        <v>116</v>
      </c>
      <c r="D12" s="16" t="str">
        <f>IF(VFLAW_PLATE_OPT="Just One","Only integers","")</f>
        <v/>
      </c>
      <c r="E12" s="20" t="s">
        <v>156</v>
      </c>
      <c r="F12" s="157">
        <f>B12</f>
        <v>5</v>
      </c>
      <c r="G12" s="20" t="s">
        <v>116</v>
      </c>
    </row>
    <row r="13" spans="1:10" s="15" customFormat="1" x14ac:dyDescent="0.25">
      <c r="B13" s="18"/>
    </row>
    <row r="14" spans="1:10" s="15" customFormat="1" x14ac:dyDescent="0.25">
      <c r="A14" s="14" t="str">
        <f>IF(VFLAW_PLATE_OPT="Just One","Flaw Aspect Ratio Distribution",IF(VFLAW_PLATE_OPT="Several","Flaw distribution for several flaw depths",""))</f>
        <v>Flaw distribution for several flaw depths</v>
      </c>
      <c r="B14" s="18"/>
      <c r="E14" s="20" t="s">
        <v>171</v>
      </c>
    </row>
    <row r="15" spans="1:10" s="15" customFormat="1" x14ac:dyDescent="0.25">
      <c r="A15" s="15" t="str">
        <f>IF(VFLAW_PLATE_OPT="None","","Use default distribution?")</f>
        <v>Use default distribution?</v>
      </c>
      <c r="B15" s="4" t="s">
        <v>54</v>
      </c>
      <c r="D15" s="16" t="str">
        <f>IF(ROUND(SUM(B16:B26),4)&lt;&gt;100,"WARNING: sum of aspect ratio distributions must equal 100%","")</f>
        <v/>
      </c>
      <c r="E15" s="20" t="s">
        <v>157</v>
      </c>
      <c r="F15" s="112" t="str">
        <f>$B$15</f>
        <v>yes</v>
      </c>
    </row>
    <row r="16" spans="1:10" s="15" customFormat="1" x14ac:dyDescent="0.25">
      <c r="A16" s="15" t="str">
        <f>IF(AND(VFLAW_PLATE_OPT="Just One",VFLAW_PLATE_ARdefault="no"),"Percentage of flaws with c/a=1.00-1.25","")</f>
        <v/>
      </c>
      <c r="B16" s="167">
        <v>10</v>
      </c>
      <c r="C16" s="115" t="str">
        <f t="shared" ref="C16:C26" si="1">IF(AND(VFLAW_PLATE_OPT="Just One",VFLAW_PLATE_ARdefault="no"),"%","")</f>
        <v/>
      </c>
      <c r="D16" s="16" t="str">
        <f t="shared" ref="D16:D26" si="2">IF(AND(VFLAW_PLATE_OPT="Just One",VFLAW_PLATE_ARdefault="no"),"Fill this line","Do not fill this line")</f>
        <v>Do not fill this line</v>
      </c>
      <c r="E16" s="20" t="s">
        <v>158</v>
      </c>
      <c r="F16" s="157">
        <f t="shared" ref="F16:F25" si="3">IF(VFLAW_PLATE_ARdefault="yes",10,B16)</f>
        <v>10</v>
      </c>
      <c r="G16" s="20" t="s">
        <v>116</v>
      </c>
    </row>
    <row r="17" spans="1:14" s="15" customFormat="1" x14ac:dyDescent="0.25">
      <c r="A17" s="15" t="str">
        <f>IF(AND(VFLAW_PLATE_OPT="Just One",VFLAW_PLATE_ARdefault="no"),"Percentage of flaws with c/a=1.25-1.50","")</f>
        <v/>
      </c>
      <c r="B17" s="167">
        <v>10</v>
      </c>
      <c r="C17" s="115" t="str">
        <f t="shared" si="1"/>
        <v/>
      </c>
      <c r="D17" s="16" t="str">
        <f t="shared" si="2"/>
        <v>Do not fill this line</v>
      </c>
      <c r="E17" s="20" t="s">
        <v>159</v>
      </c>
      <c r="F17" s="157">
        <f t="shared" si="3"/>
        <v>10</v>
      </c>
      <c r="G17" s="20" t="s">
        <v>116</v>
      </c>
    </row>
    <row r="18" spans="1:14" s="15" customFormat="1" x14ac:dyDescent="0.25">
      <c r="A18" s="15" t="str">
        <f>IF(AND(VFLAW_PLATE_OPT="Just One",VFLAW_PLATE_ARdefault="no"),"Percentage of flaws with c/a=1.50-2.00","")</f>
        <v/>
      </c>
      <c r="B18" s="167">
        <v>10</v>
      </c>
      <c r="C18" s="115" t="str">
        <f t="shared" si="1"/>
        <v/>
      </c>
      <c r="D18" s="16" t="str">
        <f t="shared" si="2"/>
        <v>Do not fill this line</v>
      </c>
      <c r="E18" s="20" t="s">
        <v>160</v>
      </c>
      <c r="F18" s="157">
        <f t="shared" si="3"/>
        <v>10</v>
      </c>
      <c r="G18" s="20" t="s">
        <v>116</v>
      </c>
    </row>
    <row r="19" spans="1:14" s="15" customFormat="1" x14ac:dyDescent="0.25">
      <c r="A19" s="15" t="str">
        <f>IF(AND(VFLAW_PLATE_OPT="Just One",VFLAW_PLATE_ARdefault="no"),"Percentage of flaws with c/a=2.00-3.00","")</f>
        <v/>
      </c>
      <c r="B19" s="167">
        <v>10</v>
      </c>
      <c r="C19" s="115" t="str">
        <f t="shared" si="1"/>
        <v/>
      </c>
      <c r="D19" s="16" t="str">
        <f t="shared" si="2"/>
        <v>Do not fill this line</v>
      </c>
      <c r="E19" s="20" t="s">
        <v>161</v>
      </c>
      <c r="F19" s="157">
        <f t="shared" si="3"/>
        <v>10</v>
      </c>
      <c r="G19" s="20" t="s">
        <v>116</v>
      </c>
    </row>
    <row r="20" spans="1:14" s="15" customFormat="1" x14ac:dyDescent="0.25">
      <c r="A20" s="15" t="str">
        <f>IF(AND(VFLAW_PLATE_OPT="Just One",VFLAW_PLATE_ARdefault="no"),"Percentage of flaws with c/a=3.00-4.00","")</f>
        <v/>
      </c>
      <c r="B20" s="167">
        <v>10</v>
      </c>
      <c r="C20" s="115" t="str">
        <f t="shared" si="1"/>
        <v/>
      </c>
      <c r="D20" s="16" t="str">
        <f t="shared" si="2"/>
        <v>Do not fill this line</v>
      </c>
      <c r="E20" s="20" t="s">
        <v>162</v>
      </c>
      <c r="F20" s="157">
        <f t="shared" si="3"/>
        <v>10</v>
      </c>
      <c r="G20" s="20" t="s">
        <v>116</v>
      </c>
    </row>
    <row r="21" spans="1:14" s="15" customFormat="1" x14ac:dyDescent="0.25">
      <c r="A21" s="15" t="str">
        <f>IF(AND(VFLAW_PLATE_OPT="Just One",VFLAW_PLATE_ARdefault="no"),"Percentage of flaws with c/a=4.00-5.00","")</f>
        <v/>
      </c>
      <c r="B21" s="167">
        <v>10</v>
      </c>
      <c r="C21" s="115" t="str">
        <f t="shared" si="1"/>
        <v/>
      </c>
      <c r="D21" s="16" t="str">
        <f t="shared" si="2"/>
        <v>Do not fill this line</v>
      </c>
      <c r="E21" s="20" t="s">
        <v>163</v>
      </c>
      <c r="F21" s="157">
        <f t="shared" si="3"/>
        <v>10</v>
      </c>
      <c r="G21" s="20" t="s">
        <v>116</v>
      </c>
    </row>
    <row r="22" spans="1:14" s="15" customFormat="1" x14ac:dyDescent="0.25">
      <c r="A22" s="15" t="str">
        <f>IF(AND(VFLAW_PLATE_OPT="Just One",VFLAW_PLATE_ARdefault="no"),"Percentage of flaws with c/a=5.00-6.00","")</f>
        <v/>
      </c>
      <c r="B22" s="167">
        <v>10</v>
      </c>
      <c r="C22" s="115" t="str">
        <f t="shared" si="1"/>
        <v/>
      </c>
      <c r="D22" s="16" t="str">
        <f t="shared" si="2"/>
        <v>Do not fill this line</v>
      </c>
      <c r="E22" s="20" t="s">
        <v>164</v>
      </c>
      <c r="F22" s="157">
        <f t="shared" si="3"/>
        <v>10</v>
      </c>
      <c r="G22" s="20" t="s">
        <v>116</v>
      </c>
    </row>
    <row r="23" spans="1:14" s="15" customFormat="1" x14ac:dyDescent="0.25">
      <c r="A23" s="15" t="str">
        <f>IF(AND(VFLAW_PLATE_OPT="Just One",VFLAW_PLATE_ARdefault="no"),"Percentage of flaws with c/a=6.00-8.00","")</f>
        <v/>
      </c>
      <c r="B23" s="167">
        <v>10</v>
      </c>
      <c r="C23" s="115" t="str">
        <f t="shared" si="1"/>
        <v/>
      </c>
      <c r="D23" s="16" t="str">
        <f t="shared" si="2"/>
        <v>Do not fill this line</v>
      </c>
      <c r="E23" s="20" t="s">
        <v>165</v>
      </c>
      <c r="F23" s="157">
        <f t="shared" si="3"/>
        <v>10</v>
      </c>
      <c r="G23" s="20" t="s">
        <v>116</v>
      </c>
    </row>
    <row r="24" spans="1:14" s="15" customFormat="1" x14ac:dyDescent="0.25">
      <c r="A24" s="15" t="str">
        <f>IF(AND(VFLAW_PLATE_OPT="Just One",VFLAW_PLATE_ARdefault="no"),"Percentage of flaws with c/a=8.00-10.00","")</f>
        <v/>
      </c>
      <c r="B24" s="167">
        <v>10</v>
      </c>
      <c r="C24" s="115" t="str">
        <f t="shared" si="1"/>
        <v/>
      </c>
      <c r="D24" s="16" t="str">
        <f t="shared" si="2"/>
        <v>Do not fill this line</v>
      </c>
      <c r="E24" s="20" t="s">
        <v>166</v>
      </c>
      <c r="F24" s="157">
        <f t="shared" si="3"/>
        <v>10</v>
      </c>
      <c r="G24" s="20" t="s">
        <v>116</v>
      </c>
    </row>
    <row r="25" spans="1:14" s="15" customFormat="1" x14ac:dyDescent="0.25">
      <c r="A25" s="15" t="str">
        <f>IF(AND(VFLAW_PLATE_OPT="Just One",VFLAW_PLATE_ARdefault="no"),"Percentage of flaws with c/a=10.00-15.00","")</f>
        <v/>
      </c>
      <c r="B25" s="167">
        <v>10</v>
      </c>
      <c r="C25" s="115" t="str">
        <f t="shared" si="1"/>
        <v/>
      </c>
      <c r="D25" s="16" t="str">
        <f t="shared" si="2"/>
        <v>Do not fill this line</v>
      </c>
      <c r="E25" s="20" t="s">
        <v>167</v>
      </c>
      <c r="F25" s="157">
        <f t="shared" si="3"/>
        <v>10</v>
      </c>
      <c r="G25" s="20" t="s">
        <v>116</v>
      </c>
    </row>
    <row r="26" spans="1:14" s="15" customFormat="1" x14ac:dyDescent="0.25">
      <c r="A26" s="15" t="str">
        <f>IF(AND(VFLAW_PLATE_OPT="Just One",VFLAW_PLATE_ARdefault="no"),"Percentage of flaws with c/a&gt;15.00","")</f>
        <v/>
      </c>
      <c r="B26" s="167">
        <v>0</v>
      </c>
      <c r="C26" s="115" t="str">
        <f t="shared" si="1"/>
        <v/>
      </c>
      <c r="D26" s="16" t="str">
        <f t="shared" si="2"/>
        <v>Do not fill this line</v>
      </c>
      <c r="E26" s="20" t="s">
        <v>168</v>
      </c>
      <c r="F26" s="157">
        <f>IF(VFLAW_PLATE_ARdefault="yes",0,B26)</f>
        <v>0</v>
      </c>
      <c r="G26" s="20" t="s">
        <v>116</v>
      </c>
    </row>
    <row r="27" spans="1:14" s="15" customFormat="1" x14ac:dyDescent="0.25">
      <c r="B27" s="18"/>
      <c r="D27" s="116"/>
    </row>
    <row r="28" spans="1:14" s="15" customFormat="1" x14ac:dyDescent="0.25">
      <c r="A28" s="14" t="str">
        <f>IF(VFLAW_PLATE_OPT="Several","Flaw distribution for several flaw depths","")</f>
        <v>Flaw distribution for several flaw depths</v>
      </c>
      <c r="B28" s="18"/>
      <c r="D28" s="116"/>
    </row>
    <row r="29" spans="1:14" s="15" customFormat="1" ht="15.75" thickBot="1" x14ac:dyDescent="0.3">
      <c r="A29" s="16" t="str">
        <f>IF(VFLAW_PLATE_OPT="Several","Fill this table","Do not fill this table")</f>
        <v>Fill this table</v>
      </c>
      <c r="B29" s="19" t="str">
        <f>IF(VFLAW_PLATE_OPT="Several",IF(SUM(B32:$B$131)=100,"","Sum must equal 100%"),"Do not fill this column")</f>
        <v/>
      </c>
      <c r="C29" s="16" t="str">
        <f t="shared" ref="C29:M29" si="4">IF(AND(VFLAW_PLATE_OPT="Several",VFLAW_PLATE_ARdefault="no"),"Fill this column","Do not fill this column")</f>
        <v>Do not fill this column</v>
      </c>
      <c r="D29" s="16" t="str">
        <f t="shared" si="4"/>
        <v>Do not fill this column</v>
      </c>
      <c r="E29" s="16" t="str">
        <f t="shared" si="4"/>
        <v>Do not fill this column</v>
      </c>
      <c r="F29" s="16" t="str">
        <f t="shared" si="4"/>
        <v>Do not fill this column</v>
      </c>
      <c r="G29" s="16" t="str">
        <f t="shared" si="4"/>
        <v>Do not fill this column</v>
      </c>
      <c r="H29" s="16" t="str">
        <f t="shared" si="4"/>
        <v>Do not fill this column</v>
      </c>
      <c r="I29" s="16" t="str">
        <f t="shared" si="4"/>
        <v>Do not fill this column</v>
      </c>
      <c r="J29" s="16" t="str">
        <f t="shared" si="4"/>
        <v>Do not fill this column</v>
      </c>
      <c r="K29" s="16" t="str">
        <f t="shared" si="4"/>
        <v>Do not fill this column</v>
      </c>
      <c r="L29" s="16" t="str">
        <f t="shared" si="4"/>
        <v>Do not fill this column</v>
      </c>
      <c r="M29" s="16" t="str">
        <f t="shared" si="4"/>
        <v>Do not fill this column</v>
      </c>
    </row>
    <row r="30" spans="1:14" s="118" customFormat="1" ht="30.75" customHeight="1" x14ac:dyDescent="0.25">
      <c r="A30" s="117" t="str">
        <f>IF(VFLAW_PLATE_OPT="Several","Flaw Depth","")</f>
        <v>Flaw Depth</v>
      </c>
      <c r="B30" s="110" t="str">
        <f>IF(VFLAW_PLATE_OPT="Several","Percentage of flaws at given depth","")</f>
        <v>Percentage of flaws at given depth</v>
      </c>
      <c r="C30" s="117" t="str">
        <f>IF(AND(VFLAW_PLATE_OPT="Several",VFLAW_PLATE_ARdefault="no"),"c/a=1.00-1.25","")</f>
        <v/>
      </c>
      <c r="D30" s="111" t="str">
        <f>IF(AND(VFLAW_PLATE_OPT="Several",VFLAW_PLATE_ARdefault="no"),"c/a=1.25-1.50","")</f>
        <v/>
      </c>
      <c r="E30" s="111" t="str">
        <f>IF(AND(VFLAW_PLATE_OPT="Several",VFLAW_PLATE_ARdefault="no"),"c/a=1.50-2.00","")</f>
        <v/>
      </c>
      <c r="F30" s="111" t="str">
        <f>IF(AND(VFLAW_PLATE_OPT="Several",VFLAW_PLATE_ARdefault="no"),"c/a=2.00-3.00","")</f>
        <v/>
      </c>
      <c r="G30" s="111" t="str">
        <f>IF(AND(VFLAW_PLATE_OPT="Several",VFLAW_PLATE_ARdefault="no"),"c/a=3.00-4.00","")</f>
        <v/>
      </c>
      <c r="H30" s="111" t="str">
        <f>IF(AND(VFLAW_PLATE_OPT="Several",VFLAW_PLATE_ARdefault="no"),"c/a=4.00-5.00","")</f>
        <v/>
      </c>
      <c r="I30" s="111" t="str">
        <f>IF(AND(VFLAW_PLATE_OPT="Several",VFLAW_PLATE_ARdefault="no"),"c/a=5.00-6.00","")</f>
        <v/>
      </c>
      <c r="J30" s="111" t="str">
        <f>IF(AND(VFLAW_PLATE_OPT="Several",VFLAW_PLATE_ARdefault="no"),"c/a=6.00-8.00","")</f>
        <v/>
      </c>
      <c r="K30" s="111" t="str">
        <f>IF(AND(VFLAW_PLATE_OPT="Several",VFLAW_PLATE_ARdefault="no"),"c/a=8.00-10.00","")</f>
        <v/>
      </c>
      <c r="L30" s="111" t="str">
        <f>IF(AND(VFLAW_PLATE_OPT="Several",VFLAW_PLATE_ARdefault="no"),"c/a=10.00-15.00","")</f>
        <v/>
      </c>
      <c r="M30" s="110" t="str">
        <f>IF(AND(VFLAW_PLATE_OPT="Several",VFLAW_PLATE_ARdefault="no"),"c/a&gt;15.00","")</f>
        <v/>
      </c>
    </row>
    <row r="31" spans="1:14" s="15" customFormat="1" ht="15.75" thickBot="1" x14ac:dyDescent="0.3">
      <c r="A31" s="119" t="str">
        <f>IF(VFLAW_PLATE_OPT="Several","%","")</f>
        <v>%</v>
      </c>
      <c r="B31" s="120" t="str">
        <f>IF(VFLAW_PLATE_OPT="Several","%","")</f>
        <v>%</v>
      </c>
      <c r="C31" s="119" t="str">
        <f t="shared" ref="C31:M31" si="5">IF(AND(VFLAW_PLATE_OPT="Several",VFLAW_PLATE_ARdefault="no"),"%","")</f>
        <v/>
      </c>
      <c r="D31" s="121" t="str">
        <f t="shared" si="5"/>
        <v/>
      </c>
      <c r="E31" s="121" t="str">
        <f t="shared" si="5"/>
        <v/>
      </c>
      <c r="F31" s="121" t="str">
        <f t="shared" si="5"/>
        <v/>
      </c>
      <c r="G31" s="121" t="str">
        <f t="shared" si="5"/>
        <v/>
      </c>
      <c r="H31" s="121" t="str">
        <f t="shared" si="5"/>
        <v/>
      </c>
      <c r="I31" s="121" t="str">
        <f t="shared" si="5"/>
        <v/>
      </c>
      <c r="J31" s="121" t="str">
        <f t="shared" si="5"/>
        <v/>
      </c>
      <c r="K31" s="121" t="str">
        <f t="shared" si="5"/>
        <v/>
      </c>
      <c r="L31" s="121" t="str">
        <f t="shared" si="5"/>
        <v/>
      </c>
      <c r="M31" s="120" t="str">
        <f t="shared" si="5"/>
        <v/>
      </c>
    </row>
    <row r="32" spans="1:14" s="15" customFormat="1" x14ac:dyDescent="0.25">
      <c r="A32" s="122">
        <f t="shared" ref="A32:A63" si="6">IF(VFLAW_PLATE_OPT="Several",IF(A31="%",1,A31+1),"")</f>
        <v>1</v>
      </c>
      <c r="B32" s="166">
        <v>5</v>
      </c>
      <c r="C32" s="186">
        <v>10</v>
      </c>
      <c r="D32" s="187">
        <v>10</v>
      </c>
      <c r="E32" s="187">
        <v>10</v>
      </c>
      <c r="F32" s="187">
        <v>10</v>
      </c>
      <c r="G32" s="187">
        <v>10</v>
      </c>
      <c r="H32" s="187">
        <v>10</v>
      </c>
      <c r="I32" s="187">
        <v>10</v>
      </c>
      <c r="J32" s="187">
        <v>10</v>
      </c>
      <c r="K32" s="187">
        <v>10</v>
      </c>
      <c r="L32" s="187">
        <v>10</v>
      </c>
      <c r="M32" s="166">
        <v>0</v>
      </c>
      <c r="N32" s="16" t="str">
        <f t="shared" ref="N32:N63" si="7">IF(AND(B32&lt;&gt;0,VFLAW_PLATE_ARdefault="no"),IF(SUM(C32:M32)=100,"","Sum must equal 100%"),"")</f>
        <v/>
      </c>
    </row>
    <row r="33" spans="1:14" s="15" customFormat="1" x14ac:dyDescent="0.25">
      <c r="A33" s="122">
        <f t="shared" si="6"/>
        <v>2</v>
      </c>
      <c r="B33" s="166">
        <v>2.5</v>
      </c>
      <c r="C33" s="186">
        <v>10</v>
      </c>
      <c r="D33" s="187">
        <v>10</v>
      </c>
      <c r="E33" s="187">
        <v>10</v>
      </c>
      <c r="F33" s="187">
        <v>10</v>
      </c>
      <c r="G33" s="187">
        <v>10</v>
      </c>
      <c r="H33" s="187">
        <v>10</v>
      </c>
      <c r="I33" s="187">
        <v>10</v>
      </c>
      <c r="J33" s="187">
        <v>10</v>
      </c>
      <c r="K33" s="187">
        <v>10</v>
      </c>
      <c r="L33" s="187">
        <v>10</v>
      </c>
      <c r="M33" s="166">
        <v>0</v>
      </c>
      <c r="N33" s="16" t="str">
        <f t="shared" si="7"/>
        <v/>
      </c>
    </row>
    <row r="34" spans="1:14" s="15" customFormat="1" x14ac:dyDescent="0.25">
      <c r="A34" s="122">
        <f t="shared" si="6"/>
        <v>3</v>
      </c>
      <c r="B34" s="166">
        <v>1.25</v>
      </c>
      <c r="C34" s="186">
        <v>10</v>
      </c>
      <c r="D34" s="187">
        <v>10</v>
      </c>
      <c r="E34" s="187">
        <v>10</v>
      </c>
      <c r="F34" s="187">
        <v>10</v>
      </c>
      <c r="G34" s="187">
        <v>10</v>
      </c>
      <c r="H34" s="187">
        <v>10</v>
      </c>
      <c r="I34" s="187">
        <v>10</v>
      </c>
      <c r="J34" s="187">
        <v>10</v>
      </c>
      <c r="K34" s="187">
        <v>10</v>
      </c>
      <c r="L34" s="187">
        <v>10</v>
      </c>
      <c r="M34" s="166">
        <v>0</v>
      </c>
      <c r="N34" s="16" t="str">
        <f t="shared" si="7"/>
        <v/>
      </c>
    </row>
    <row r="35" spans="1:14" s="15" customFormat="1" x14ac:dyDescent="0.25">
      <c r="A35" s="122">
        <f t="shared" si="6"/>
        <v>4</v>
      </c>
      <c r="B35" s="166">
        <v>0.625</v>
      </c>
      <c r="C35" s="186">
        <v>10</v>
      </c>
      <c r="D35" s="187">
        <v>10</v>
      </c>
      <c r="E35" s="187">
        <v>10</v>
      </c>
      <c r="F35" s="187">
        <v>10</v>
      </c>
      <c r="G35" s="187">
        <v>10</v>
      </c>
      <c r="H35" s="187">
        <v>10</v>
      </c>
      <c r="I35" s="187">
        <v>10</v>
      </c>
      <c r="J35" s="187">
        <v>10</v>
      </c>
      <c r="K35" s="187">
        <v>10</v>
      </c>
      <c r="L35" s="187">
        <v>10</v>
      </c>
      <c r="M35" s="166">
        <v>0</v>
      </c>
      <c r="N35" s="16" t="str">
        <f t="shared" si="7"/>
        <v/>
      </c>
    </row>
    <row r="36" spans="1:14" s="15" customFormat="1" x14ac:dyDescent="0.25">
      <c r="A36" s="122">
        <f t="shared" si="6"/>
        <v>5</v>
      </c>
      <c r="B36" s="166">
        <v>0.3125</v>
      </c>
      <c r="C36" s="186">
        <v>10</v>
      </c>
      <c r="D36" s="187">
        <v>10</v>
      </c>
      <c r="E36" s="187">
        <v>10</v>
      </c>
      <c r="F36" s="187">
        <v>10</v>
      </c>
      <c r="G36" s="187">
        <v>10</v>
      </c>
      <c r="H36" s="187">
        <v>10</v>
      </c>
      <c r="I36" s="187">
        <v>10</v>
      </c>
      <c r="J36" s="187">
        <v>10</v>
      </c>
      <c r="K36" s="187">
        <v>10</v>
      </c>
      <c r="L36" s="187">
        <v>10</v>
      </c>
      <c r="M36" s="166">
        <v>0</v>
      </c>
      <c r="N36" s="16" t="str">
        <f t="shared" si="7"/>
        <v/>
      </c>
    </row>
    <row r="37" spans="1:14" s="15" customFormat="1" x14ac:dyDescent="0.25">
      <c r="A37" s="122">
        <f t="shared" si="6"/>
        <v>6</v>
      </c>
      <c r="B37" s="166">
        <v>0.15625</v>
      </c>
      <c r="C37" s="186">
        <v>10</v>
      </c>
      <c r="D37" s="187">
        <v>10</v>
      </c>
      <c r="E37" s="187">
        <v>10</v>
      </c>
      <c r="F37" s="187">
        <v>10</v>
      </c>
      <c r="G37" s="187">
        <v>10</v>
      </c>
      <c r="H37" s="187">
        <v>10</v>
      </c>
      <c r="I37" s="187">
        <v>10</v>
      </c>
      <c r="J37" s="187">
        <v>10</v>
      </c>
      <c r="K37" s="187">
        <v>10</v>
      </c>
      <c r="L37" s="187">
        <v>10</v>
      </c>
      <c r="M37" s="166">
        <v>0</v>
      </c>
      <c r="N37" s="16" t="str">
        <f t="shared" si="7"/>
        <v/>
      </c>
    </row>
    <row r="38" spans="1:14" s="15" customFormat="1" x14ac:dyDescent="0.25">
      <c r="A38" s="122">
        <f t="shared" si="6"/>
        <v>7</v>
      </c>
      <c r="B38" s="166">
        <v>7.8125E-2</v>
      </c>
      <c r="C38" s="186">
        <v>10</v>
      </c>
      <c r="D38" s="187">
        <v>10</v>
      </c>
      <c r="E38" s="187">
        <v>10</v>
      </c>
      <c r="F38" s="187">
        <v>10</v>
      </c>
      <c r="G38" s="187">
        <v>10</v>
      </c>
      <c r="H38" s="187">
        <v>10</v>
      </c>
      <c r="I38" s="187">
        <v>10</v>
      </c>
      <c r="J38" s="187">
        <v>10</v>
      </c>
      <c r="K38" s="187">
        <v>10</v>
      </c>
      <c r="L38" s="187">
        <v>10</v>
      </c>
      <c r="M38" s="166">
        <v>0</v>
      </c>
      <c r="N38" s="16" t="str">
        <f t="shared" si="7"/>
        <v/>
      </c>
    </row>
    <row r="39" spans="1:14" s="15" customFormat="1" x14ac:dyDescent="0.25">
      <c r="A39" s="122">
        <f t="shared" si="6"/>
        <v>8</v>
      </c>
      <c r="B39" s="166">
        <v>3.90625E-2</v>
      </c>
      <c r="C39" s="186">
        <v>10</v>
      </c>
      <c r="D39" s="187">
        <v>10</v>
      </c>
      <c r="E39" s="187">
        <v>10</v>
      </c>
      <c r="F39" s="187">
        <v>10</v>
      </c>
      <c r="G39" s="187">
        <v>10</v>
      </c>
      <c r="H39" s="187">
        <v>10</v>
      </c>
      <c r="I39" s="187">
        <v>10</v>
      </c>
      <c r="J39" s="187">
        <v>10</v>
      </c>
      <c r="K39" s="187">
        <v>10</v>
      </c>
      <c r="L39" s="187">
        <v>10</v>
      </c>
      <c r="M39" s="166">
        <v>0</v>
      </c>
      <c r="N39" s="16" t="str">
        <f t="shared" si="7"/>
        <v/>
      </c>
    </row>
    <row r="40" spans="1:14" s="15" customFormat="1" x14ac:dyDescent="0.25">
      <c r="A40" s="122">
        <f t="shared" si="6"/>
        <v>9</v>
      </c>
      <c r="B40" s="166">
        <v>1.953125E-2</v>
      </c>
      <c r="C40" s="186">
        <v>10</v>
      </c>
      <c r="D40" s="187">
        <v>10</v>
      </c>
      <c r="E40" s="187">
        <v>10</v>
      </c>
      <c r="F40" s="187">
        <v>10</v>
      </c>
      <c r="G40" s="187">
        <v>10</v>
      </c>
      <c r="H40" s="187">
        <v>10</v>
      </c>
      <c r="I40" s="187">
        <v>10</v>
      </c>
      <c r="J40" s="187">
        <v>10</v>
      </c>
      <c r="K40" s="187">
        <v>10</v>
      </c>
      <c r="L40" s="187">
        <v>10</v>
      </c>
      <c r="M40" s="166">
        <v>0</v>
      </c>
      <c r="N40" s="16" t="str">
        <f t="shared" si="7"/>
        <v/>
      </c>
    </row>
    <row r="41" spans="1:14" s="15" customFormat="1" x14ac:dyDescent="0.25">
      <c r="A41" s="122">
        <f t="shared" si="6"/>
        <v>10</v>
      </c>
      <c r="B41" s="166">
        <v>1.953125E-2</v>
      </c>
      <c r="C41" s="186">
        <v>10</v>
      </c>
      <c r="D41" s="187">
        <v>10</v>
      </c>
      <c r="E41" s="187">
        <v>10</v>
      </c>
      <c r="F41" s="187">
        <v>10</v>
      </c>
      <c r="G41" s="187">
        <v>10</v>
      </c>
      <c r="H41" s="187">
        <v>10</v>
      </c>
      <c r="I41" s="187">
        <v>10</v>
      </c>
      <c r="J41" s="187">
        <v>10</v>
      </c>
      <c r="K41" s="187">
        <v>10</v>
      </c>
      <c r="L41" s="187">
        <v>10</v>
      </c>
      <c r="M41" s="166">
        <v>0</v>
      </c>
      <c r="N41" s="16" t="str">
        <f t="shared" si="7"/>
        <v/>
      </c>
    </row>
    <row r="42" spans="1:14" s="15" customFormat="1" x14ac:dyDescent="0.25">
      <c r="A42" s="122">
        <f t="shared" si="6"/>
        <v>11</v>
      </c>
      <c r="B42" s="166">
        <v>5</v>
      </c>
      <c r="C42" s="186">
        <v>10</v>
      </c>
      <c r="D42" s="187">
        <v>10</v>
      </c>
      <c r="E42" s="187">
        <v>10</v>
      </c>
      <c r="F42" s="187">
        <v>10</v>
      </c>
      <c r="G42" s="187">
        <v>10</v>
      </c>
      <c r="H42" s="187">
        <v>10</v>
      </c>
      <c r="I42" s="187">
        <v>10</v>
      </c>
      <c r="J42" s="187">
        <v>10</v>
      </c>
      <c r="K42" s="187">
        <v>10</v>
      </c>
      <c r="L42" s="187">
        <v>10</v>
      </c>
      <c r="M42" s="166">
        <v>0</v>
      </c>
      <c r="N42" s="16" t="str">
        <f t="shared" si="7"/>
        <v/>
      </c>
    </row>
    <row r="43" spans="1:14" s="15" customFormat="1" x14ac:dyDescent="0.25">
      <c r="A43" s="122">
        <f t="shared" si="6"/>
        <v>12</v>
      </c>
      <c r="B43" s="166">
        <v>2.5</v>
      </c>
      <c r="C43" s="186">
        <v>10</v>
      </c>
      <c r="D43" s="187">
        <v>10</v>
      </c>
      <c r="E43" s="187">
        <v>10</v>
      </c>
      <c r="F43" s="187">
        <v>10</v>
      </c>
      <c r="G43" s="187">
        <v>10</v>
      </c>
      <c r="H43" s="187">
        <v>10</v>
      </c>
      <c r="I43" s="187">
        <v>10</v>
      </c>
      <c r="J43" s="187">
        <v>10</v>
      </c>
      <c r="K43" s="187">
        <v>10</v>
      </c>
      <c r="L43" s="187">
        <v>10</v>
      </c>
      <c r="M43" s="166">
        <v>0</v>
      </c>
      <c r="N43" s="16" t="str">
        <f t="shared" si="7"/>
        <v/>
      </c>
    </row>
    <row r="44" spans="1:14" s="15" customFormat="1" x14ac:dyDescent="0.25">
      <c r="A44" s="122">
        <f t="shared" si="6"/>
        <v>13</v>
      </c>
      <c r="B44" s="166">
        <v>1.25</v>
      </c>
      <c r="C44" s="186">
        <v>10</v>
      </c>
      <c r="D44" s="187">
        <v>10</v>
      </c>
      <c r="E44" s="187">
        <v>10</v>
      </c>
      <c r="F44" s="187">
        <v>10</v>
      </c>
      <c r="G44" s="187">
        <v>10</v>
      </c>
      <c r="H44" s="187">
        <v>10</v>
      </c>
      <c r="I44" s="187">
        <v>10</v>
      </c>
      <c r="J44" s="187">
        <v>10</v>
      </c>
      <c r="K44" s="187">
        <v>10</v>
      </c>
      <c r="L44" s="187">
        <v>10</v>
      </c>
      <c r="M44" s="166">
        <v>0</v>
      </c>
      <c r="N44" s="16" t="str">
        <f t="shared" si="7"/>
        <v/>
      </c>
    </row>
    <row r="45" spans="1:14" s="15" customFormat="1" x14ac:dyDescent="0.25">
      <c r="A45" s="122">
        <f t="shared" si="6"/>
        <v>14</v>
      </c>
      <c r="B45" s="166">
        <v>0.625</v>
      </c>
      <c r="C45" s="186">
        <v>10</v>
      </c>
      <c r="D45" s="187">
        <v>10</v>
      </c>
      <c r="E45" s="187">
        <v>10</v>
      </c>
      <c r="F45" s="187">
        <v>10</v>
      </c>
      <c r="G45" s="187">
        <v>10</v>
      </c>
      <c r="H45" s="187">
        <v>10</v>
      </c>
      <c r="I45" s="187">
        <v>10</v>
      </c>
      <c r="J45" s="187">
        <v>10</v>
      </c>
      <c r="K45" s="187">
        <v>10</v>
      </c>
      <c r="L45" s="187">
        <v>10</v>
      </c>
      <c r="M45" s="166">
        <v>0</v>
      </c>
      <c r="N45" s="16" t="str">
        <f t="shared" si="7"/>
        <v/>
      </c>
    </row>
    <row r="46" spans="1:14" s="15" customFormat="1" x14ac:dyDescent="0.25">
      <c r="A46" s="122">
        <f t="shared" si="6"/>
        <v>15</v>
      </c>
      <c r="B46" s="166">
        <v>0.3125</v>
      </c>
      <c r="C46" s="186">
        <v>10</v>
      </c>
      <c r="D46" s="187">
        <v>10</v>
      </c>
      <c r="E46" s="187">
        <v>10</v>
      </c>
      <c r="F46" s="187">
        <v>10</v>
      </c>
      <c r="G46" s="187">
        <v>10</v>
      </c>
      <c r="H46" s="187">
        <v>10</v>
      </c>
      <c r="I46" s="187">
        <v>10</v>
      </c>
      <c r="J46" s="187">
        <v>10</v>
      </c>
      <c r="K46" s="187">
        <v>10</v>
      </c>
      <c r="L46" s="187">
        <v>10</v>
      </c>
      <c r="M46" s="166">
        <v>0</v>
      </c>
      <c r="N46" s="16" t="str">
        <f t="shared" si="7"/>
        <v/>
      </c>
    </row>
    <row r="47" spans="1:14" s="15" customFormat="1" x14ac:dyDescent="0.25">
      <c r="A47" s="122">
        <f t="shared" si="6"/>
        <v>16</v>
      </c>
      <c r="B47" s="166">
        <v>0.15625</v>
      </c>
      <c r="C47" s="186">
        <v>10</v>
      </c>
      <c r="D47" s="187">
        <v>10</v>
      </c>
      <c r="E47" s="187">
        <v>10</v>
      </c>
      <c r="F47" s="187">
        <v>10</v>
      </c>
      <c r="G47" s="187">
        <v>10</v>
      </c>
      <c r="H47" s="187">
        <v>10</v>
      </c>
      <c r="I47" s="187">
        <v>10</v>
      </c>
      <c r="J47" s="187">
        <v>10</v>
      </c>
      <c r="K47" s="187">
        <v>10</v>
      </c>
      <c r="L47" s="187">
        <v>10</v>
      </c>
      <c r="M47" s="166">
        <v>0</v>
      </c>
      <c r="N47" s="16" t="str">
        <f t="shared" si="7"/>
        <v/>
      </c>
    </row>
    <row r="48" spans="1:14" s="15" customFormat="1" x14ac:dyDescent="0.25">
      <c r="A48" s="122">
        <f t="shared" si="6"/>
        <v>17</v>
      </c>
      <c r="B48" s="166">
        <v>7.8125E-2</v>
      </c>
      <c r="C48" s="186">
        <v>10</v>
      </c>
      <c r="D48" s="187">
        <v>10</v>
      </c>
      <c r="E48" s="187">
        <v>10</v>
      </c>
      <c r="F48" s="187">
        <v>10</v>
      </c>
      <c r="G48" s="187">
        <v>10</v>
      </c>
      <c r="H48" s="187">
        <v>10</v>
      </c>
      <c r="I48" s="187">
        <v>10</v>
      </c>
      <c r="J48" s="187">
        <v>10</v>
      </c>
      <c r="K48" s="187">
        <v>10</v>
      </c>
      <c r="L48" s="187">
        <v>10</v>
      </c>
      <c r="M48" s="166">
        <v>0</v>
      </c>
      <c r="N48" s="16" t="str">
        <f t="shared" si="7"/>
        <v/>
      </c>
    </row>
    <row r="49" spans="1:14" s="15" customFormat="1" x14ac:dyDescent="0.25">
      <c r="A49" s="122">
        <f t="shared" si="6"/>
        <v>18</v>
      </c>
      <c r="B49" s="166">
        <v>3.90625E-2</v>
      </c>
      <c r="C49" s="186">
        <v>10</v>
      </c>
      <c r="D49" s="187">
        <v>10</v>
      </c>
      <c r="E49" s="187">
        <v>10</v>
      </c>
      <c r="F49" s="187">
        <v>10</v>
      </c>
      <c r="G49" s="187">
        <v>10</v>
      </c>
      <c r="H49" s="187">
        <v>10</v>
      </c>
      <c r="I49" s="187">
        <v>10</v>
      </c>
      <c r="J49" s="187">
        <v>10</v>
      </c>
      <c r="K49" s="187">
        <v>10</v>
      </c>
      <c r="L49" s="187">
        <v>10</v>
      </c>
      <c r="M49" s="166">
        <v>0</v>
      </c>
      <c r="N49" s="16" t="str">
        <f t="shared" si="7"/>
        <v/>
      </c>
    </row>
    <row r="50" spans="1:14" s="15" customFormat="1" x14ac:dyDescent="0.25">
      <c r="A50" s="122">
        <f t="shared" si="6"/>
        <v>19</v>
      </c>
      <c r="B50" s="166">
        <v>1.953125E-2</v>
      </c>
      <c r="C50" s="186">
        <v>10</v>
      </c>
      <c r="D50" s="187">
        <v>10</v>
      </c>
      <c r="E50" s="187">
        <v>10</v>
      </c>
      <c r="F50" s="187">
        <v>10</v>
      </c>
      <c r="G50" s="187">
        <v>10</v>
      </c>
      <c r="H50" s="187">
        <v>10</v>
      </c>
      <c r="I50" s="187">
        <v>10</v>
      </c>
      <c r="J50" s="187">
        <v>10</v>
      </c>
      <c r="K50" s="187">
        <v>10</v>
      </c>
      <c r="L50" s="187">
        <v>10</v>
      </c>
      <c r="M50" s="166">
        <v>0</v>
      </c>
      <c r="N50" s="16" t="str">
        <f t="shared" si="7"/>
        <v/>
      </c>
    </row>
    <row r="51" spans="1:14" s="15" customFormat="1" x14ac:dyDescent="0.25">
      <c r="A51" s="122">
        <f t="shared" si="6"/>
        <v>20</v>
      </c>
      <c r="B51" s="166">
        <v>1.953125E-2</v>
      </c>
      <c r="C51" s="186">
        <v>10</v>
      </c>
      <c r="D51" s="187">
        <v>10</v>
      </c>
      <c r="E51" s="187">
        <v>10</v>
      </c>
      <c r="F51" s="187">
        <v>10</v>
      </c>
      <c r="G51" s="187">
        <v>10</v>
      </c>
      <c r="H51" s="187">
        <v>10</v>
      </c>
      <c r="I51" s="187">
        <v>10</v>
      </c>
      <c r="J51" s="187">
        <v>10</v>
      </c>
      <c r="K51" s="187">
        <v>10</v>
      </c>
      <c r="L51" s="187">
        <v>10</v>
      </c>
      <c r="M51" s="166">
        <v>0</v>
      </c>
      <c r="N51" s="16" t="str">
        <f t="shared" si="7"/>
        <v/>
      </c>
    </row>
    <row r="52" spans="1:14" s="15" customFormat="1" x14ac:dyDescent="0.25">
      <c r="A52" s="122">
        <f t="shared" si="6"/>
        <v>21</v>
      </c>
      <c r="B52" s="166">
        <v>5</v>
      </c>
      <c r="C52" s="186">
        <v>10</v>
      </c>
      <c r="D52" s="187">
        <v>10</v>
      </c>
      <c r="E52" s="187">
        <v>10</v>
      </c>
      <c r="F52" s="187">
        <v>10</v>
      </c>
      <c r="G52" s="187">
        <v>10</v>
      </c>
      <c r="H52" s="187">
        <v>10</v>
      </c>
      <c r="I52" s="187">
        <v>10</v>
      </c>
      <c r="J52" s="187">
        <v>10</v>
      </c>
      <c r="K52" s="187">
        <v>10</v>
      </c>
      <c r="L52" s="187">
        <v>10</v>
      </c>
      <c r="M52" s="166">
        <v>0</v>
      </c>
      <c r="N52" s="16" t="str">
        <f t="shared" si="7"/>
        <v/>
      </c>
    </row>
    <row r="53" spans="1:14" s="15" customFormat="1" x14ac:dyDescent="0.25">
      <c r="A53" s="122">
        <f t="shared" si="6"/>
        <v>22</v>
      </c>
      <c r="B53" s="166">
        <v>2.5</v>
      </c>
      <c r="C53" s="186">
        <v>10</v>
      </c>
      <c r="D53" s="187">
        <v>10</v>
      </c>
      <c r="E53" s="187">
        <v>10</v>
      </c>
      <c r="F53" s="187">
        <v>10</v>
      </c>
      <c r="G53" s="187">
        <v>10</v>
      </c>
      <c r="H53" s="187">
        <v>10</v>
      </c>
      <c r="I53" s="187">
        <v>10</v>
      </c>
      <c r="J53" s="187">
        <v>10</v>
      </c>
      <c r="K53" s="187">
        <v>10</v>
      </c>
      <c r="L53" s="187">
        <v>10</v>
      </c>
      <c r="M53" s="166">
        <v>0</v>
      </c>
      <c r="N53" s="16" t="str">
        <f t="shared" si="7"/>
        <v/>
      </c>
    </row>
    <row r="54" spans="1:14" s="15" customFormat="1" x14ac:dyDescent="0.25">
      <c r="A54" s="122">
        <f t="shared" si="6"/>
        <v>23</v>
      </c>
      <c r="B54" s="166">
        <v>1.25</v>
      </c>
      <c r="C54" s="186">
        <v>10</v>
      </c>
      <c r="D54" s="187">
        <v>10</v>
      </c>
      <c r="E54" s="187">
        <v>10</v>
      </c>
      <c r="F54" s="187">
        <v>10</v>
      </c>
      <c r="G54" s="187">
        <v>10</v>
      </c>
      <c r="H54" s="187">
        <v>10</v>
      </c>
      <c r="I54" s="187">
        <v>10</v>
      </c>
      <c r="J54" s="187">
        <v>10</v>
      </c>
      <c r="K54" s="187">
        <v>10</v>
      </c>
      <c r="L54" s="187">
        <v>10</v>
      </c>
      <c r="M54" s="166">
        <v>0</v>
      </c>
      <c r="N54" s="16" t="str">
        <f t="shared" si="7"/>
        <v/>
      </c>
    </row>
    <row r="55" spans="1:14" s="15" customFormat="1" x14ac:dyDescent="0.25">
      <c r="A55" s="122">
        <f t="shared" si="6"/>
        <v>24</v>
      </c>
      <c r="B55" s="166">
        <v>0.625</v>
      </c>
      <c r="C55" s="186">
        <v>10</v>
      </c>
      <c r="D55" s="187">
        <v>10</v>
      </c>
      <c r="E55" s="187">
        <v>10</v>
      </c>
      <c r="F55" s="187">
        <v>10</v>
      </c>
      <c r="G55" s="187">
        <v>10</v>
      </c>
      <c r="H55" s="187">
        <v>10</v>
      </c>
      <c r="I55" s="187">
        <v>10</v>
      </c>
      <c r="J55" s="187">
        <v>10</v>
      </c>
      <c r="K55" s="187">
        <v>10</v>
      </c>
      <c r="L55" s="187">
        <v>10</v>
      </c>
      <c r="M55" s="166">
        <v>0</v>
      </c>
      <c r="N55" s="16" t="str">
        <f t="shared" si="7"/>
        <v/>
      </c>
    </row>
    <row r="56" spans="1:14" s="15" customFormat="1" x14ac:dyDescent="0.25">
      <c r="A56" s="122">
        <f t="shared" si="6"/>
        <v>25</v>
      </c>
      <c r="B56" s="166">
        <v>0.3125</v>
      </c>
      <c r="C56" s="186">
        <v>10</v>
      </c>
      <c r="D56" s="187">
        <v>10</v>
      </c>
      <c r="E56" s="187">
        <v>10</v>
      </c>
      <c r="F56" s="187">
        <v>10</v>
      </c>
      <c r="G56" s="187">
        <v>10</v>
      </c>
      <c r="H56" s="187">
        <v>10</v>
      </c>
      <c r="I56" s="187">
        <v>10</v>
      </c>
      <c r="J56" s="187">
        <v>10</v>
      </c>
      <c r="K56" s="187">
        <v>10</v>
      </c>
      <c r="L56" s="187">
        <v>10</v>
      </c>
      <c r="M56" s="166">
        <v>0</v>
      </c>
      <c r="N56" s="16" t="str">
        <f t="shared" si="7"/>
        <v/>
      </c>
    </row>
    <row r="57" spans="1:14" s="15" customFormat="1" x14ac:dyDescent="0.25">
      <c r="A57" s="122">
        <f t="shared" si="6"/>
        <v>26</v>
      </c>
      <c r="B57" s="166">
        <v>0.15625</v>
      </c>
      <c r="C57" s="186">
        <v>10</v>
      </c>
      <c r="D57" s="187">
        <v>10</v>
      </c>
      <c r="E57" s="187">
        <v>10</v>
      </c>
      <c r="F57" s="187">
        <v>10</v>
      </c>
      <c r="G57" s="187">
        <v>10</v>
      </c>
      <c r="H57" s="187">
        <v>10</v>
      </c>
      <c r="I57" s="187">
        <v>10</v>
      </c>
      <c r="J57" s="187">
        <v>10</v>
      </c>
      <c r="K57" s="187">
        <v>10</v>
      </c>
      <c r="L57" s="187">
        <v>10</v>
      </c>
      <c r="M57" s="166">
        <v>0</v>
      </c>
      <c r="N57" s="16" t="str">
        <f t="shared" si="7"/>
        <v/>
      </c>
    </row>
    <row r="58" spans="1:14" s="15" customFormat="1" x14ac:dyDescent="0.25">
      <c r="A58" s="122">
        <f t="shared" si="6"/>
        <v>27</v>
      </c>
      <c r="B58" s="166">
        <v>7.8125E-2</v>
      </c>
      <c r="C58" s="186">
        <v>10</v>
      </c>
      <c r="D58" s="187">
        <v>10</v>
      </c>
      <c r="E58" s="187">
        <v>10</v>
      </c>
      <c r="F58" s="187">
        <v>10</v>
      </c>
      <c r="G58" s="187">
        <v>10</v>
      </c>
      <c r="H58" s="187">
        <v>10</v>
      </c>
      <c r="I58" s="187">
        <v>10</v>
      </c>
      <c r="J58" s="187">
        <v>10</v>
      </c>
      <c r="K58" s="187">
        <v>10</v>
      </c>
      <c r="L58" s="187">
        <v>10</v>
      </c>
      <c r="M58" s="166">
        <v>0</v>
      </c>
      <c r="N58" s="16" t="str">
        <f t="shared" si="7"/>
        <v/>
      </c>
    </row>
    <row r="59" spans="1:14" s="15" customFormat="1" x14ac:dyDescent="0.25">
      <c r="A59" s="122">
        <f t="shared" si="6"/>
        <v>28</v>
      </c>
      <c r="B59" s="166">
        <v>3.90625E-2</v>
      </c>
      <c r="C59" s="186">
        <v>10</v>
      </c>
      <c r="D59" s="187">
        <v>10</v>
      </c>
      <c r="E59" s="187">
        <v>10</v>
      </c>
      <c r="F59" s="187">
        <v>10</v>
      </c>
      <c r="G59" s="187">
        <v>10</v>
      </c>
      <c r="H59" s="187">
        <v>10</v>
      </c>
      <c r="I59" s="187">
        <v>10</v>
      </c>
      <c r="J59" s="187">
        <v>10</v>
      </c>
      <c r="K59" s="187">
        <v>10</v>
      </c>
      <c r="L59" s="187">
        <v>10</v>
      </c>
      <c r="M59" s="166">
        <v>0</v>
      </c>
      <c r="N59" s="16" t="str">
        <f t="shared" si="7"/>
        <v/>
      </c>
    </row>
    <row r="60" spans="1:14" s="15" customFormat="1" x14ac:dyDescent="0.25">
      <c r="A60" s="122">
        <f t="shared" si="6"/>
        <v>29</v>
      </c>
      <c r="B60" s="166">
        <v>1.953125E-2</v>
      </c>
      <c r="C60" s="186">
        <v>10</v>
      </c>
      <c r="D60" s="187">
        <v>10</v>
      </c>
      <c r="E60" s="187">
        <v>10</v>
      </c>
      <c r="F60" s="187">
        <v>10</v>
      </c>
      <c r="G60" s="187">
        <v>10</v>
      </c>
      <c r="H60" s="187">
        <v>10</v>
      </c>
      <c r="I60" s="187">
        <v>10</v>
      </c>
      <c r="J60" s="187">
        <v>10</v>
      </c>
      <c r="K60" s="187">
        <v>10</v>
      </c>
      <c r="L60" s="187">
        <v>10</v>
      </c>
      <c r="M60" s="166">
        <v>0</v>
      </c>
      <c r="N60" s="16" t="str">
        <f t="shared" si="7"/>
        <v/>
      </c>
    </row>
    <row r="61" spans="1:14" s="15" customFormat="1" x14ac:dyDescent="0.25">
      <c r="A61" s="122">
        <f t="shared" si="6"/>
        <v>30</v>
      </c>
      <c r="B61" s="166">
        <v>1.953125E-2</v>
      </c>
      <c r="C61" s="186">
        <v>10</v>
      </c>
      <c r="D61" s="187">
        <v>10</v>
      </c>
      <c r="E61" s="187">
        <v>10</v>
      </c>
      <c r="F61" s="187">
        <v>10</v>
      </c>
      <c r="G61" s="187">
        <v>10</v>
      </c>
      <c r="H61" s="187">
        <v>10</v>
      </c>
      <c r="I61" s="187">
        <v>10</v>
      </c>
      <c r="J61" s="187">
        <v>10</v>
      </c>
      <c r="K61" s="187">
        <v>10</v>
      </c>
      <c r="L61" s="187">
        <v>10</v>
      </c>
      <c r="M61" s="166">
        <v>0</v>
      </c>
      <c r="N61" s="16" t="str">
        <f t="shared" si="7"/>
        <v/>
      </c>
    </row>
    <row r="62" spans="1:14" s="15" customFormat="1" x14ac:dyDescent="0.25">
      <c r="A62" s="122">
        <f t="shared" si="6"/>
        <v>31</v>
      </c>
      <c r="B62" s="166">
        <v>5</v>
      </c>
      <c r="C62" s="186">
        <v>10</v>
      </c>
      <c r="D62" s="187">
        <v>10</v>
      </c>
      <c r="E62" s="187">
        <v>10</v>
      </c>
      <c r="F62" s="187">
        <v>10</v>
      </c>
      <c r="G62" s="187">
        <v>10</v>
      </c>
      <c r="H62" s="187">
        <v>10</v>
      </c>
      <c r="I62" s="187">
        <v>10</v>
      </c>
      <c r="J62" s="187">
        <v>10</v>
      </c>
      <c r="K62" s="187">
        <v>10</v>
      </c>
      <c r="L62" s="187">
        <v>10</v>
      </c>
      <c r="M62" s="166">
        <v>0</v>
      </c>
      <c r="N62" s="16" t="str">
        <f t="shared" si="7"/>
        <v/>
      </c>
    </row>
    <row r="63" spans="1:14" s="15" customFormat="1" x14ac:dyDescent="0.25">
      <c r="A63" s="122">
        <f t="shared" si="6"/>
        <v>32</v>
      </c>
      <c r="B63" s="166">
        <v>2.5</v>
      </c>
      <c r="C63" s="186">
        <v>10</v>
      </c>
      <c r="D63" s="187">
        <v>10</v>
      </c>
      <c r="E63" s="187">
        <v>10</v>
      </c>
      <c r="F63" s="187">
        <v>10</v>
      </c>
      <c r="G63" s="187">
        <v>10</v>
      </c>
      <c r="H63" s="187">
        <v>10</v>
      </c>
      <c r="I63" s="187">
        <v>10</v>
      </c>
      <c r="J63" s="187">
        <v>10</v>
      </c>
      <c r="K63" s="187">
        <v>10</v>
      </c>
      <c r="L63" s="187">
        <v>10</v>
      </c>
      <c r="M63" s="166">
        <v>0</v>
      </c>
      <c r="N63" s="16" t="str">
        <f t="shared" si="7"/>
        <v/>
      </c>
    </row>
    <row r="64" spans="1:14" s="15" customFormat="1" x14ac:dyDescent="0.25">
      <c r="A64" s="122">
        <f t="shared" ref="A64:A95" si="8">IF(VFLAW_PLATE_OPT="Several",IF(A63="%",1,A63+1),"")</f>
        <v>33</v>
      </c>
      <c r="B64" s="166">
        <v>1.25</v>
      </c>
      <c r="C64" s="186">
        <v>10</v>
      </c>
      <c r="D64" s="187">
        <v>10</v>
      </c>
      <c r="E64" s="187">
        <v>10</v>
      </c>
      <c r="F64" s="187">
        <v>10</v>
      </c>
      <c r="G64" s="187">
        <v>10</v>
      </c>
      <c r="H64" s="187">
        <v>10</v>
      </c>
      <c r="I64" s="187">
        <v>10</v>
      </c>
      <c r="J64" s="187">
        <v>10</v>
      </c>
      <c r="K64" s="187">
        <v>10</v>
      </c>
      <c r="L64" s="187">
        <v>10</v>
      </c>
      <c r="M64" s="166">
        <v>0</v>
      </c>
      <c r="N64" s="16" t="str">
        <f t="shared" ref="N64:N95" si="9">IF(AND(B64&lt;&gt;0,VFLAW_PLATE_ARdefault="no"),IF(SUM(C64:M64)=100,"","Sum must equal 100%"),"")</f>
        <v/>
      </c>
    </row>
    <row r="65" spans="1:14" s="15" customFormat="1" x14ac:dyDescent="0.25">
      <c r="A65" s="122">
        <f t="shared" si="8"/>
        <v>34</v>
      </c>
      <c r="B65" s="166">
        <v>0.625</v>
      </c>
      <c r="C65" s="186">
        <v>10</v>
      </c>
      <c r="D65" s="187">
        <v>10</v>
      </c>
      <c r="E65" s="187">
        <v>10</v>
      </c>
      <c r="F65" s="187">
        <v>10</v>
      </c>
      <c r="G65" s="187">
        <v>10</v>
      </c>
      <c r="H65" s="187">
        <v>10</v>
      </c>
      <c r="I65" s="187">
        <v>10</v>
      </c>
      <c r="J65" s="187">
        <v>10</v>
      </c>
      <c r="K65" s="187">
        <v>10</v>
      </c>
      <c r="L65" s="187">
        <v>10</v>
      </c>
      <c r="M65" s="166">
        <v>0</v>
      </c>
      <c r="N65" s="16" t="str">
        <f t="shared" si="9"/>
        <v/>
      </c>
    </row>
    <row r="66" spans="1:14" s="15" customFormat="1" x14ac:dyDescent="0.25">
      <c r="A66" s="122">
        <f t="shared" si="8"/>
        <v>35</v>
      </c>
      <c r="B66" s="166">
        <v>0.3125</v>
      </c>
      <c r="C66" s="186">
        <v>10</v>
      </c>
      <c r="D66" s="187">
        <v>10</v>
      </c>
      <c r="E66" s="187">
        <v>10</v>
      </c>
      <c r="F66" s="187">
        <v>10</v>
      </c>
      <c r="G66" s="187">
        <v>10</v>
      </c>
      <c r="H66" s="187">
        <v>10</v>
      </c>
      <c r="I66" s="187">
        <v>10</v>
      </c>
      <c r="J66" s="187">
        <v>10</v>
      </c>
      <c r="K66" s="187">
        <v>10</v>
      </c>
      <c r="L66" s="187">
        <v>10</v>
      </c>
      <c r="M66" s="166">
        <v>0</v>
      </c>
      <c r="N66" s="16" t="str">
        <f t="shared" si="9"/>
        <v/>
      </c>
    </row>
    <row r="67" spans="1:14" s="15" customFormat="1" x14ac:dyDescent="0.25">
      <c r="A67" s="122">
        <f t="shared" si="8"/>
        <v>36</v>
      </c>
      <c r="B67" s="166">
        <v>0.15625</v>
      </c>
      <c r="C67" s="186">
        <v>10</v>
      </c>
      <c r="D67" s="187">
        <v>10</v>
      </c>
      <c r="E67" s="187">
        <v>10</v>
      </c>
      <c r="F67" s="187">
        <v>10</v>
      </c>
      <c r="G67" s="187">
        <v>10</v>
      </c>
      <c r="H67" s="187">
        <v>10</v>
      </c>
      <c r="I67" s="187">
        <v>10</v>
      </c>
      <c r="J67" s="187">
        <v>10</v>
      </c>
      <c r="K67" s="187">
        <v>10</v>
      </c>
      <c r="L67" s="187">
        <v>10</v>
      </c>
      <c r="M67" s="166">
        <v>0</v>
      </c>
      <c r="N67" s="16" t="str">
        <f t="shared" si="9"/>
        <v/>
      </c>
    </row>
    <row r="68" spans="1:14" s="15" customFormat="1" x14ac:dyDescent="0.25">
      <c r="A68" s="122">
        <f t="shared" si="8"/>
        <v>37</v>
      </c>
      <c r="B68" s="166">
        <v>7.8125E-2</v>
      </c>
      <c r="C68" s="186">
        <v>10</v>
      </c>
      <c r="D68" s="187">
        <v>10</v>
      </c>
      <c r="E68" s="187">
        <v>10</v>
      </c>
      <c r="F68" s="187">
        <v>10</v>
      </c>
      <c r="G68" s="187">
        <v>10</v>
      </c>
      <c r="H68" s="187">
        <v>10</v>
      </c>
      <c r="I68" s="187">
        <v>10</v>
      </c>
      <c r="J68" s="187">
        <v>10</v>
      </c>
      <c r="K68" s="187">
        <v>10</v>
      </c>
      <c r="L68" s="187">
        <v>10</v>
      </c>
      <c r="M68" s="166">
        <v>0</v>
      </c>
      <c r="N68" s="16" t="str">
        <f t="shared" si="9"/>
        <v/>
      </c>
    </row>
    <row r="69" spans="1:14" s="15" customFormat="1" x14ac:dyDescent="0.25">
      <c r="A69" s="122">
        <f t="shared" si="8"/>
        <v>38</v>
      </c>
      <c r="B69" s="166">
        <v>3.90625E-2</v>
      </c>
      <c r="C69" s="186">
        <v>10</v>
      </c>
      <c r="D69" s="187">
        <v>10</v>
      </c>
      <c r="E69" s="187">
        <v>10</v>
      </c>
      <c r="F69" s="187">
        <v>10</v>
      </c>
      <c r="G69" s="187">
        <v>10</v>
      </c>
      <c r="H69" s="187">
        <v>10</v>
      </c>
      <c r="I69" s="187">
        <v>10</v>
      </c>
      <c r="J69" s="187">
        <v>10</v>
      </c>
      <c r="K69" s="187">
        <v>10</v>
      </c>
      <c r="L69" s="187">
        <v>10</v>
      </c>
      <c r="M69" s="166">
        <v>0</v>
      </c>
      <c r="N69" s="16" t="str">
        <f t="shared" si="9"/>
        <v/>
      </c>
    </row>
    <row r="70" spans="1:14" s="15" customFormat="1" x14ac:dyDescent="0.25">
      <c r="A70" s="122">
        <f t="shared" si="8"/>
        <v>39</v>
      </c>
      <c r="B70" s="166">
        <v>1.953125E-2</v>
      </c>
      <c r="C70" s="186">
        <v>10</v>
      </c>
      <c r="D70" s="187">
        <v>10</v>
      </c>
      <c r="E70" s="187">
        <v>10</v>
      </c>
      <c r="F70" s="187">
        <v>10</v>
      </c>
      <c r="G70" s="187">
        <v>10</v>
      </c>
      <c r="H70" s="187">
        <v>10</v>
      </c>
      <c r="I70" s="187">
        <v>10</v>
      </c>
      <c r="J70" s="187">
        <v>10</v>
      </c>
      <c r="K70" s="187">
        <v>10</v>
      </c>
      <c r="L70" s="187">
        <v>10</v>
      </c>
      <c r="M70" s="166">
        <v>0</v>
      </c>
      <c r="N70" s="16" t="str">
        <f t="shared" si="9"/>
        <v/>
      </c>
    </row>
    <row r="71" spans="1:14" s="15" customFormat="1" x14ac:dyDescent="0.25">
      <c r="A71" s="122">
        <f t="shared" si="8"/>
        <v>40</v>
      </c>
      <c r="B71" s="166">
        <v>1.953125E-2</v>
      </c>
      <c r="C71" s="186">
        <v>10</v>
      </c>
      <c r="D71" s="187">
        <v>10</v>
      </c>
      <c r="E71" s="187">
        <v>10</v>
      </c>
      <c r="F71" s="187">
        <v>10</v>
      </c>
      <c r="G71" s="187">
        <v>10</v>
      </c>
      <c r="H71" s="187">
        <v>10</v>
      </c>
      <c r="I71" s="187">
        <v>10</v>
      </c>
      <c r="J71" s="187">
        <v>10</v>
      </c>
      <c r="K71" s="187">
        <v>10</v>
      </c>
      <c r="L71" s="187">
        <v>10</v>
      </c>
      <c r="M71" s="166">
        <v>0</v>
      </c>
      <c r="N71" s="16" t="str">
        <f t="shared" si="9"/>
        <v/>
      </c>
    </row>
    <row r="72" spans="1:14" s="15" customFormat="1" x14ac:dyDescent="0.25">
      <c r="A72" s="122">
        <f t="shared" si="8"/>
        <v>41</v>
      </c>
      <c r="B72" s="166">
        <v>5</v>
      </c>
      <c r="C72" s="186">
        <v>10</v>
      </c>
      <c r="D72" s="187">
        <v>10</v>
      </c>
      <c r="E72" s="187">
        <v>10</v>
      </c>
      <c r="F72" s="187">
        <v>10</v>
      </c>
      <c r="G72" s="187">
        <v>10</v>
      </c>
      <c r="H72" s="187">
        <v>10</v>
      </c>
      <c r="I72" s="187">
        <v>10</v>
      </c>
      <c r="J72" s="187">
        <v>10</v>
      </c>
      <c r="K72" s="187">
        <v>10</v>
      </c>
      <c r="L72" s="187">
        <v>10</v>
      </c>
      <c r="M72" s="166">
        <v>0</v>
      </c>
      <c r="N72" s="16" t="str">
        <f t="shared" si="9"/>
        <v/>
      </c>
    </row>
    <row r="73" spans="1:14" s="15" customFormat="1" x14ac:dyDescent="0.25">
      <c r="A73" s="122">
        <f t="shared" si="8"/>
        <v>42</v>
      </c>
      <c r="B73" s="166">
        <v>2.5</v>
      </c>
      <c r="C73" s="186">
        <v>10</v>
      </c>
      <c r="D73" s="187">
        <v>10</v>
      </c>
      <c r="E73" s="187">
        <v>10</v>
      </c>
      <c r="F73" s="187">
        <v>10</v>
      </c>
      <c r="G73" s="187">
        <v>10</v>
      </c>
      <c r="H73" s="187">
        <v>10</v>
      </c>
      <c r="I73" s="187">
        <v>10</v>
      </c>
      <c r="J73" s="187">
        <v>10</v>
      </c>
      <c r="K73" s="187">
        <v>10</v>
      </c>
      <c r="L73" s="187">
        <v>10</v>
      </c>
      <c r="M73" s="166">
        <v>0</v>
      </c>
      <c r="N73" s="16" t="str">
        <f t="shared" si="9"/>
        <v/>
      </c>
    </row>
    <row r="74" spans="1:14" s="15" customFormat="1" x14ac:dyDescent="0.25">
      <c r="A74" s="122">
        <f t="shared" si="8"/>
        <v>43</v>
      </c>
      <c r="B74" s="166">
        <v>1.25</v>
      </c>
      <c r="C74" s="186">
        <v>10</v>
      </c>
      <c r="D74" s="187">
        <v>10</v>
      </c>
      <c r="E74" s="187">
        <v>10</v>
      </c>
      <c r="F74" s="187">
        <v>10</v>
      </c>
      <c r="G74" s="187">
        <v>10</v>
      </c>
      <c r="H74" s="187">
        <v>10</v>
      </c>
      <c r="I74" s="187">
        <v>10</v>
      </c>
      <c r="J74" s="187">
        <v>10</v>
      </c>
      <c r="K74" s="187">
        <v>10</v>
      </c>
      <c r="L74" s="187">
        <v>10</v>
      </c>
      <c r="M74" s="166">
        <v>0</v>
      </c>
      <c r="N74" s="16" t="str">
        <f t="shared" si="9"/>
        <v/>
      </c>
    </row>
    <row r="75" spans="1:14" s="15" customFormat="1" x14ac:dyDescent="0.25">
      <c r="A75" s="122">
        <f t="shared" si="8"/>
        <v>44</v>
      </c>
      <c r="B75" s="166">
        <v>0.625</v>
      </c>
      <c r="C75" s="186">
        <v>10</v>
      </c>
      <c r="D75" s="187">
        <v>10</v>
      </c>
      <c r="E75" s="187">
        <v>10</v>
      </c>
      <c r="F75" s="187">
        <v>10</v>
      </c>
      <c r="G75" s="187">
        <v>10</v>
      </c>
      <c r="H75" s="187">
        <v>10</v>
      </c>
      <c r="I75" s="187">
        <v>10</v>
      </c>
      <c r="J75" s="187">
        <v>10</v>
      </c>
      <c r="K75" s="187">
        <v>10</v>
      </c>
      <c r="L75" s="187">
        <v>10</v>
      </c>
      <c r="M75" s="166">
        <v>0</v>
      </c>
      <c r="N75" s="16" t="str">
        <f t="shared" si="9"/>
        <v/>
      </c>
    </row>
    <row r="76" spans="1:14" s="15" customFormat="1" x14ac:dyDescent="0.25">
      <c r="A76" s="122">
        <f t="shared" si="8"/>
        <v>45</v>
      </c>
      <c r="B76" s="166">
        <v>0.3125</v>
      </c>
      <c r="C76" s="186">
        <v>10</v>
      </c>
      <c r="D76" s="187">
        <v>10</v>
      </c>
      <c r="E76" s="187">
        <v>10</v>
      </c>
      <c r="F76" s="187">
        <v>10</v>
      </c>
      <c r="G76" s="187">
        <v>10</v>
      </c>
      <c r="H76" s="187">
        <v>10</v>
      </c>
      <c r="I76" s="187">
        <v>10</v>
      </c>
      <c r="J76" s="187">
        <v>10</v>
      </c>
      <c r="K76" s="187">
        <v>10</v>
      </c>
      <c r="L76" s="187">
        <v>10</v>
      </c>
      <c r="M76" s="166">
        <v>0</v>
      </c>
      <c r="N76" s="16" t="str">
        <f t="shared" si="9"/>
        <v/>
      </c>
    </row>
    <row r="77" spans="1:14" s="15" customFormat="1" x14ac:dyDescent="0.25">
      <c r="A77" s="122">
        <f t="shared" si="8"/>
        <v>46</v>
      </c>
      <c r="B77" s="166">
        <v>0.15625</v>
      </c>
      <c r="C77" s="186">
        <v>10</v>
      </c>
      <c r="D77" s="187">
        <v>10</v>
      </c>
      <c r="E77" s="187">
        <v>10</v>
      </c>
      <c r="F77" s="187">
        <v>10</v>
      </c>
      <c r="G77" s="187">
        <v>10</v>
      </c>
      <c r="H77" s="187">
        <v>10</v>
      </c>
      <c r="I77" s="187">
        <v>10</v>
      </c>
      <c r="J77" s="187">
        <v>10</v>
      </c>
      <c r="K77" s="187">
        <v>10</v>
      </c>
      <c r="L77" s="187">
        <v>10</v>
      </c>
      <c r="M77" s="166">
        <v>0</v>
      </c>
      <c r="N77" s="16" t="str">
        <f t="shared" si="9"/>
        <v/>
      </c>
    </row>
    <row r="78" spans="1:14" s="15" customFormat="1" x14ac:dyDescent="0.25">
      <c r="A78" s="122">
        <f t="shared" si="8"/>
        <v>47</v>
      </c>
      <c r="B78" s="166">
        <v>7.8125E-2</v>
      </c>
      <c r="C78" s="186">
        <v>10</v>
      </c>
      <c r="D78" s="187">
        <v>10</v>
      </c>
      <c r="E78" s="187">
        <v>10</v>
      </c>
      <c r="F78" s="187">
        <v>10</v>
      </c>
      <c r="G78" s="187">
        <v>10</v>
      </c>
      <c r="H78" s="187">
        <v>10</v>
      </c>
      <c r="I78" s="187">
        <v>10</v>
      </c>
      <c r="J78" s="187">
        <v>10</v>
      </c>
      <c r="K78" s="187">
        <v>10</v>
      </c>
      <c r="L78" s="187">
        <v>10</v>
      </c>
      <c r="M78" s="166">
        <v>0</v>
      </c>
      <c r="N78" s="16" t="str">
        <f t="shared" si="9"/>
        <v/>
      </c>
    </row>
    <row r="79" spans="1:14" s="15" customFormat="1" x14ac:dyDescent="0.25">
      <c r="A79" s="122">
        <f t="shared" si="8"/>
        <v>48</v>
      </c>
      <c r="B79" s="166">
        <v>3.90625E-2</v>
      </c>
      <c r="C79" s="186">
        <v>10</v>
      </c>
      <c r="D79" s="187">
        <v>10</v>
      </c>
      <c r="E79" s="187">
        <v>10</v>
      </c>
      <c r="F79" s="187">
        <v>10</v>
      </c>
      <c r="G79" s="187">
        <v>10</v>
      </c>
      <c r="H79" s="187">
        <v>10</v>
      </c>
      <c r="I79" s="187">
        <v>10</v>
      </c>
      <c r="J79" s="187">
        <v>10</v>
      </c>
      <c r="K79" s="187">
        <v>10</v>
      </c>
      <c r="L79" s="187">
        <v>10</v>
      </c>
      <c r="M79" s="166">
        <v>0</v>
      </c>
      <c r="N79" s="16" t="str">
        <f t="shared" si="9"/>
        <v/>
      </c>
    </row>
    <row r="80" spans="1:14" s="15" customFormat="1" x14ac:dyDescent="0.25">
      <c r="A80" s="122">
        <f t="shared" si="8"/>
        <v>49</v>
      </c>
      <c r="B80" s="166">
        <v>1.953125E-2</v>
      </c>
      <c r="C80" s="186">
        <v>10</v>
      </c>
      <c r="D80" s="187">
        <v>10</v>
      </c>
      <c r="E80" s="187">
        <v>10</v>
      </c>
      <c r="F80" s="187">
        <v>10</v>
      </c>
      <c r="G80" s="187">
        <v>10</v>
      </c>
      <c r="H80" s="187">
        <v>10</v>
      </c>
      <c r="I80" s="187">
        <v>10</v>
      </c>
      <c r="J80" s="187">
        <v>10</v>
      </c>
      <c r="K80" s="187">
        <v>10</v>
      </c>
      <c r="L80" s="187">
        <v>10</v>
      </c>
      <c r="M80" s="166">
        <v>0</v>
      </c>
      <c r="N80" s="16" t="str">
        <f t="shared" si="9"/>
        <v/>
      </c>
    </row>
    <row r="81" spans="1:14" s="15" customFormat="1" x14ac:dyDescent="0.25">
      <c r="A81" s="122">
        <f t="shared" si="8"/>
        <v>50</v>
      </c>
      <c r="B81" s="166">
        <v>1.953125E-2</v>
      </c>
      <c r="C81" s="186">
        <v>10</v>
      </c>
      <c r="D81" s="187">
        <v>10</v>
      </c>
      <c r="E81" s="187">
        <v>10</v>
      </c>
      <c r="F81" s="187">
        <v>10</v>
      </c>
      <c r="G81" s="187">
        <v>10</v>
      </c>
      <c r="H81" s="187">
        <v>10</v>
      </c>
      <c r="I81" s="187">
        <v>10</v>
      </c>
      <c r="J81" s="187">
        <v>10</v>
      </c>
      <c r="K81" s="187">
        <v>10</v>
      </c>
      <c r="L81" s="187">
        <v>10</v>
      </c>
      <c r="M81" s="166">
        <v>0</v>
      </c>
      <c r="N81" s="16" t="str">
        <f t="shared" si="9"/>
        <v/>
      </c>
    </row>
    <row r="82" spans="1:14" s="15" customFormat="1" x14ac:dyDescent="0.25">
      <c r="A82" s="122">
        <f t="shared" si="8"/>
        <v>51</v>
      </c>
      <c r="B82" s="166">
        <v>5</v>
      </c>
      <c r="C82" s="186">
        <v>10</v>
      </c>
      <c r="D82" s="187">
        <v>10</v>
      </c>
      <c r="E82" s="187">
        <v>10</v>
      </c>
      <c r="F82" s="187">
        <v>10</v>
      </c>
      <c r="G82" s="187">
        <v>10</v>
      </c>
      <c r="H82" s="187">
        <v>10</v>
      </c>
      <c r="I82" s="187">
        <v>10</v>
      </c>
      <c r="J82" s="187">
        <v>10</v>
      </c>
      <c r="K82" s="187">
        <v>10</v>
      </c>
      <c r="L82" s="187">
        <v>10</v>
      </c>
      <c r="M82" s="166">
        <v>0</v>
      </c>
      <c r="N82" s="16" t="str">
        <f t="shared" si="9"/>
        <v/>
      </c>
    </row>
    <row r="83" spans="1:14" s="15" customFormat="1" x14ac:dyDescent="0.25">
      <c r="A83" s="122">
        <f t="shared" si="8"/>
        <v>52</v>
      </c>
      <c r="B83" s="166">
        <v>2.5</v>
      </c>
      <c r="C83" s="186">
        <v>10</v>
      </c>
      <c r="D83" s="187">
        <v>10</v>
      </c>
      <c r="E83" s="187">
        <v>10</v>
      </c>
      <c r="F83" s="187">
        <v>10</v>
      </c>
      <c r="G83" s="187">
        <v>10</v>
      </c>
      <c r="H83" s="187">
        <v>10</v>
      </c>
      <c r="I83" s="187">
        <v>10</v>
      </c>
      <c r="J83" s="187">
        <v>10</v>
      </c>
      <c r="K83" s="187">
        <v>10</v>
      </c>
      <c r="L83" s="187">
        <v>10</v>
      </c>
      <c r="M83" s="166">
        <v>0</v>
      </c>
      <c r="N83" s="16" t="str">
        <f t="shared" si="9"/>
        <v/>
      </c>
    </row>
    <row r="84" spans="1:14" s="15" customFormat="1" x14ac:dyDescent="0.25">
      <c r="A84" s="122">
        <f t="shared" si="8"/>
        <v>53</v>
      </c>
      <c r="B84" s="166">
        <v>1.25</v>
      </c>
      <c r="C84" s="186">
        <v>10</v>
      </c>
      <c r="D84" s="187">
        <v>10</v>
      </c>
      <c r="E84" s="187">
        <v>10</v>
      </c>
      <c r="F84" s="187">
        <v>10</v>
      </c>
      <c r="G84" s="187">
        <v>10</v>
      </c>
      <c r="H84" s="187">
        <v>10</v>
      </c>
      <c r="I84" s="187">
        <v>10</v>
      </c>
      <c r="J84" s="187">
        <v>10</v>
      </c>
      <c r="K84" s="187">
        <v>10</v>
      </c>
      <c r="L84" s="187">
        <v>10</v>
      </c>
      <c r="M84" s="166">
        <v>0</v>
      </c>
      <c r="N84" s="16" t="str">
        <f t="shared" si="9"/>
        <v/>
      </c>
    </row>
    <row r="85" spans="1:14" s="15" customFormat="1" x14ac:dyDescent="0.25">
      <c r="A85" s="122">
        <f t="shared" si="8"/>
        <v>54</v>
      </c>
      <c r="B85" s="166">
        <v>0.625</v>
      </c>
      <c r="C85" s="186">
        <v>10</v>
      </c>
      <c r="D85" s="187">
        <v>10</v>
      </c>
      <c r="E85" s="187">
        <v>10</v>
      </c>
      <c r="F85" s="187">
        <v>10</v>
      </c>
      <c r="G85" s="187">
        <v>10</v>
      </c>
      <c r="H85" s="187">
        <v>10</v>
      </c>
      <c r="I85" s="187">
        <v>10</v>
      </c>
      <c r="J85" s="187">
        <v>10</v>
      </c>
      <c r="K85" s="187">
        <v>10</v>
      </c>
      <c r="L85" s="187">
        <v>10</v>
      </c>
      <c r="M85" s="166">
        <v>0</v>
      </c>
      <c r="N85" s="16" t="str">
        <f t="shared" si="9"/>
        <v/>
      </c>
    </row>
    <row r="86" spans="1:14" s="15" customFormat="1" x14ac:dyDescent="0.25">
      <c r="A86" s="122">
        <f t="shared" si="8"/>
        <v>55</v>
      </c>
      <c r="B86" s="166">
        <v>0.3125</v>
      </c>
      <c r="C86" s="186">
        <v>10</v>
      </c>
      <c r="D86" s="187">
        <v>10</v>
      </c>
      <c r="E86" s="187">
        <v>10</v>
      </c>
      <c r="F86" s="187">
        <v>10</v>
      </c>
      <c r="G86" s="187">
        <v>10</v>
      </c>
      <c r="H86" s="187">
        <v>10</v>
      </c>
      <c r="I86" s="187">
        <v>10</v>
      </c>
      <c r="J86" s="187">
        <v>10</v>
      </c>
      <c r="K86" s="187">
        <v>10</v>
      </c>
      <c r="L86" s="187">
        <v>10</v>
      </c>
      <c r="M86" s="166">
        <v>0</v>
      </c>
      <c r="N86" s="16" t="str">
        <f t="shared" si="9"/>
        <v/>
      </c>
    </row>
    <row r="87" spans="1:14" s="15" customFormat="1" x14ac:dyDescent="0.25">
      <c r="A87" s="122">
        <f t="shared" si="8"/>
        <v>56</v>
      </c>
      <c r="B87" s="166">
        <v>0.15625</v>
      </c>
      <c r="C87" s="186">
        <v>10</v>
      </c>
      <c r="D87" s="187">
        <v>10</v>
      </c>
      <c r="E87" s="187">
        <v>10</v>
      </c>
      <c r="F87" s="187">
        <v>10</v>
      </c>
      <c r="G87" s="187">
        <v>10</v>
      </c>
      <c r="H87" s="187">
        <v>10</v>
      </c>
      <c r="I87" s="187">
        <v>10</v>
      </c>
      <c r="J87" s="187">
        <v>10</v>
      </c>
      <c r="K87" s="187">
        <v>10</v>
      </c>
      <c r="L87" s="187">
        <v>10</v>
      </c>
      <c r="M87" s="166">
        <v>0</v>
      </c>
      <c r="N87" s="16" t="str">
        <f t="shared" si="9"/>
        <v/>
      </c>
    </row>
    <row r="88" spans="1:14" s="15" customFormat="1" x14ac:dyDescent="0.25">
      <c r="A88" s="122">
        <f t="shared" si="8"/>
        <v>57</v>
      </c>
      <c r="B88" s="166">
        <v>7.8125E-2</v>
      </c>
      <c r="C88" s="186">
        <v>10</v>
      </c>
      <c r="D88" s="187">
        <v>10</v>
      </c>
      <c r="E88" s="187">
        <v>10</v>
      </c>
      <c r="F88" s="187">
        <v>10</v>
      </c>
      <c r="G88" s="187">
        <v>10</v>
      </c>
      <c r="H88" s="187">
        <v>10</v>
      </c>
      <c r="I88" s="187">
        <v>10</v>
      </c>
      <c r="J88" s="187">
        <v>10</v>
      </c>
      <c r="K88" s="187">
        <v>10</v>
      </c>
      <c r="L88" s="187">
        <v>10</v>
      </c>
      <c r="M88" s="166">
        <v>0</v>
      </c>
      <c r="N88" s="16" t="str">
        <f t="shared" si="9"/>
        <v/>
      </c>
    </row>
    <row r="89" spans="1:14" s="15" customFormat="1" x14ac:dyDescent="0.25">
      <c r="A89" s="122">
        <f t="shared" si="8"/>
        <v>58</v>
      </c>
      <c r="B89" s="166">
        <v>3.90625E-2</v>
      </c>
      <c r="C89" s="186">
        <v>10</v>
      </c>
      <c r="D89" s="187">
        <v>10</v>
      </c>
      <c r="E89" s="187">
        <v>10</v>
      </c>
      <c r="F89" s="187">
        <v>10</v>
      </c>
      <c r="G89" s="187">
        <v>10</v>
      </c>
      <c r="H89" s="187">
        <v>10</v>
      </c>
      <c r="I89" s="187">
        <v>10</v>
      </c>
      <c r="J89" s="187">
        <v>10</v>
      </c>
      <c r="K89" s="187">
        <v>10</v>
      </c>
      <c r="L89" s="187">
        <v>10</v>
      </c>
      <c r="M89" s="166">
        <v>0</v>
      </c>
      <c r="N89" s="16" t="str">
        <f t="shared" si="9"/>
        <v/>
      </c>
    </row>
    <row r="90" spans="1:14" s="15" customFormat="1" x14ac:dyDescent="0.25">
      <c r="A90" s="122">
        <f t="shared" si="8"/>
        <v>59</v>
      </c>
      <c r="B90" s="166">
        <v>1.953125E-2</v>
      </c>
      <c r="C90" s="186">
        <v>10</v>
      </c>
      <c r="D90" s="187">
        <v>10</v>
      </c>
      <c r="E90" s="187">
        <v>10</v>
      </c>
      <c r="F90" s="187">
        <v>10</v>
      </c>
      <c r="G90" s="187">
        <v>10</v>
      </c>
      <c r="H90" s="187">
        <v>10</v>
      </c>
      <c r="I90" s="187">
        <v>10</v>
      </c>
      <c r="J90" s="187">
        <v>10</v>
      </c>
      <c r="K90" s="187">
        <v>10</v>
      </c>
      <c r="L90" s="187">
        <v>10</v>
      </c>
      <c r="M90" s="166">
        <v>0</v>
      </c>
      <c r="N90" s="16" t="str">
        <f t="shared" si="9"/>
        <v/>
      </c>
    </row>
    <row r="91" spans="1:14" s="15" customFormat="1" x14ac:dyDescent="0.25">
      <c r="A91" s="122">
        <f t="shared" si="8"/>
        <v>60</v>
      </c>
      <c r="B91" s="166">
        <v>1.953125E-2</v>
      </c>
      <c r="C91" s="186">
        <v>10</v>
      </c>
      <c r="D91" s="187">
        <v>10</v>
      </c>
      <c r="E91" s="187">
        <v>10</v>
      </c>
      <c r="F91" s="187">
        <v>10</v>
      </c>
      <c r="G91" s="187">
        <v>10</v>
      </c>
      <c r="H91" s="187">
        <v>10</v>
      </c>
      <c r="I91" s="187">
        <v>10</v>
      </c>
      <c r="J91" s="187">
        <v>10</v>
      </c>
      <c r="K91" s="187">
        <v>10</v>
      </c>
      <c r="L91" s="187">
        <v>10</v>
      </c>
      <c r="M91" s="166">
        <v>0</v>
      </c>
      <c r="N91" s="16" t="str">
        <f t="shared" si="9"/>
        <v/>
      </c>
    </row>
    <row r="92" spans="1:14" s="15" customFormat="1" x14ac:dyDescent="0.25">
      <c r="A92" s="122">
        <f t="shared" si="8"/>
        <v>61</v>
      </c>
      <c r="B92" s="166">
        <v>5</v>
      </c>
      <c r="C92" s="186">
        <v>10</v>
      </c>
      <c r="D92" s="187">
        <v>10</v>
      </c>
      <c r="E92" s="187">
        <v>10</v>
      </c>
      <c r="F92" s="187">
        <v>10</v>
      </c>
      <c r="G92" s="187">
        <v>10</v>
      </c>
      <c r="H92" s="187">
        <v>10</v>
      </c>
      <c r="I92" s="187">
        <v>10</v>
      </c>
      <c r="J92" s="187">
        <v>10</v>
      </c>
      <c r="K92" s="187">
        <v>10</v>
      </c>
      <c r="L92" s="187">
        <v>10</v>
      </c>
      <c r="M92" s="166">
        <v>0</v>
      </c>
      <c r="N92" s="16" t="str">
        <f t="shared" si="9"/>
        <v/>
      </c>
    </row>
    <row r="93" spans="1:14" s="15" customFormat="1" x14ac:dyDescent="0.25">
      <c r="A93" s="122">
        <f t="shared" si="8"/>
        <v>62</v>
      </c>
      <c r="B93" s="166">
        <v>2.5</v>
      </c>
      <c r="C93" s="186">
        <v>10</v>
      </c>
      <c r="D93" s="187">
        <v>10</v>
      </c>
      <c r="E93" s="187">
        <v>10</v>
      </c>
      <c r="F93" s="187">
        <v>10</v>
      </c>
      <c r="G93" s="187">
        <v>10</v>
      </c>
      <c r="H93" s="187">
        <v>10</v>
      </c>
      <c r="I93" s="187">
        <v>10</v>
      </c>
      <c r="J93" s="187">
        <v>10</v>
      </c>
      <c r="K93" s="187">
        <v>10</v>
      </c>
      <c r="L93" s="187">
        <v>10</v>
      </c>
      <c r="M93" s="166">
        <v>0</v>
      </c>
      <c r="N93" s="16" t="str">
        <f t="shared" si="9"/>
        <v/>
      </c>
    </row>
    <row r="94" spans="1:14" s="15" customFormat="1" x14ac:dyDescent="0.25">
      <c r="A94" s="122">
        <f t="shared" si="8"/>
        <v>63</v>
      </c>
      <c r="B94" s="166">
        <v>1.25</v>
      </c>
      <c r="C94" s="186">
        <v>10</v>
      </c>
      <c r="D94" s="187">
        <v>10</v>
      </c>
      <c r="E94" s="187">
        <v>10</v>
      </c>
      <c r="F94" s="187">
        <v>10</v>
      </c>
      <c r="G94" s="187">
        <v>10</v>
      </c>
      <c r="H94" s="187">
        <v>10</v>
      </c>
      <c r="I94" s="187">
        <v>10</v>
      </c>
      <c r="J94" s="187">
        <v>10</v>
      </c>
      <c r="K94" s="187">
        <v>10</v>
      </c>
      <c r="L94" s="187">
        <v>10</v>
      </c>
      <c r="M94" s="166">
        <v>0</v>
      </c>
      <c r="N94" s="16" t="str">
        <f t="shared" si="9"/>
        <v/>
      </c>
    </row>
    <row r="95" spans="1:14" s="15" customFormat="1" x14ac:dyDescent="0.25">
      <c r="A95" s="122">
        <f t="shared" si="8"/>
        <v>64</v>
      </c>
      <c r="B95" s="166">
        <v>0.625</v>
      </c>
      <c r="C95" s="186">
        <v>10</v>
      </c>
      <c r="D95" s="187">
        <v>10</v>
      </c>
      <c r="E95" s="187">
        <v>10</v>
      </c>
      <c r="F95" s="187">
        <v>10</v>
      </c>
      <c r="G95" s="187">
        <v>10</v>
      </c>
      <c r="H95" s="187">
        <v>10</v>
      </c>
      <c r="I95" s="187">
        <v>10</v>
      </c>
      <c r="J95" s="187">
        <v>10</v>
      </c>
      <c r="K95" s="187">
        <v>10</v>
      </c>
      <c r="L95" s="187">
        <v>10</v>
      </c>
      <c r="M95" s="166">
        <v>0</v>
      </c>
      <c r="N95" s="16" t="str">
        <f t="shared" si="9"/>
        <v/>
      </c>
    </row>
    <row r="96" spans="1:14" s="15" customFormat="1" x14ac:dyDescent="0.25">
      <c r="A96" s="122">
        <f t="shared" ref="A96:A131" si="10">IF(VFLAW_PLATE_OPT="Several",IF(A95="%",1,A95+1),"")</f>
        <v>65</v>
      </c>
      <c r="B96" s="166">
        <v>0.3125</v>
      </c>
      <c r="C96" s="186">
        <v>10</v>
      </c>
      <c r="D96" s="187">
        <v>10</v>
      </c>
      <c r="E96" s="187">
        <v>10</v>
      </c>
      <c r="F96" s="187">
        <v>10</v>
      </c>
      <c r="G96" s="187">
        <v>10</v>
      </c>
      <c r="H96" s="187">
        <v>10</v>
      </c>
      <c r="I96" s="187">
        <v>10</v>
      </c>
      <c r="J96" s="187">
        <v>10</v>
      </c>
      <c r="K96" s="187">
        <v>10</v>
      </c>
      <c r="L96" s="187">
        <v>10</v>
      </c>
      <c r="M96" s="166">
        <v>0</v>
      </c>
      <c r="N96" s="16" t="str">
        <f t="shared" ref="N96:N127" si="11">IF(AND(B96&lt;&gt;0,VFLAW_PLATE_ARdefault="no"),IF(SUM(C96:M96)=100,"","Sum must equal 100%"),"")</f>
        <v/>
      </c>
    </row>
    <row r="97" spans="1:14" s="15" customFormat="1" x14ac:dyDescent="0.25">
      <c r="A97" s="122">
        <f t="shared" si="10"/>
        <v>66</v>
      </c>
      <c r="B97" s="166">
        <v>0.15625</v>
      </c>
      <c r="C97" s="186">
        <v>10</v>
      </c>
      <c r="D97" s="187">
        <v>10</v>
      </c>
      <c r="E97" s="187">
        <v>10</v>
      </c>
      <c r="F97" s="187">
        <v>10</v>
      </c>
      <c r="G97" s="187">
        <v>10</v>
      </c>
      <c r="H97" s="187">
        <v>10</v>
      </c>
      <c r="I97" s="187">
        <v>10</v>
      </c>
      <c r="J97" s="187">
        <v>10</v>
      </c>
      <c r="K97" s="187">
        <v>10</v>
      </c>
      <c r="L97" s="187">
        <v>10</v>
      </c>
      <c r="M97" s="166">
        <v>0</v>
      </c>
      <c r="N97" s="16" t="str">
        <f t="shared" si="11"/>
        <v/>
      </c>
    </row>
    <row r="98" spans="1:14" s="15" customFormat="1" x14ac:dyDescent="0.25">
      <c r="A98" s="122">
        <f t="shared" si="10"/>
        <v>67</v>
      </c>
      <c r="B98" s="166">
        <v>7.8125E-2</v>
      </c>
      <c r="C98" s="186">
        <v>10</v>
      </c>
      <c r="D98" s="187">
        <v>10</v>
      </c>
      <c r="E98" s="187">
        <v>10</v>
      </c>
      <c r="F98" s="187">
        <v>10</v>
      </c>
      <c r="G98" s="187">
        <v>10</v>
      </c>
      <c r="H98" s="187">
        <v>10</v>
      </c>
      <c r="I98" s="187">
        <v>10</v>
      </c>
      <c r="J98" s="187">
        <v>10</v>
      </c>
      <c r="K98" s="187">
        <v>10</v>
      </c>
      <c r="L98" s="187">
        <v>10</v>
      </c>
      <c r="M98" s="166">
        <v>0</v>
      </c>
      <c r="N98" s="16" t="str">
        <f t="shared" si="11"/>
        <v/>
      </c>
    </row>
    <row r="99" spans="1:14" s="15" customFormat="1" x14ac:dyDescent="0.25">
      <c r="A99" s="122">
        <f t="shared" si="10"/>
        <v>68</v>
      </c>
      <c r="B99" s="166">
        <v>3.90625E-2</v>
      </c>
      <c r="C99" s="186">
        <v>10</v>
      </c>
      <c r="D99" s="187">
        <v>10</v>
      </c>
      <c r="E99" s="187">
        <v>10</v>
      </c>
      <c r="F99" s="187">
        <v>10</v>
      </c>
      <c r="G99" s="187">
        <v>10</v>
      </c>
      <c r="H99" s="187">
        <v>10</v>
      </c>
      <c r="I99" s="187">
        <v>10</v>
      </c>
      <c r="J99" s="187">
        <v>10</v>
      </c>
      <c r="K99" s="187">
        <v>10</v>
      </c>
      <c r="L99" s="187">
        <v>10</v>
      </c>
      <c r="M99" s="166">
        <v>0</v>
      </c>
      <c r="N99" s="16" t="str">
        <f t="shared" si="11"/>
        <v/>
      </c>
    </row>
    <row r="100" spans="1:14" s="15" customFormat="1" x14ac:dyDescent="0.25">
      <c r="A100" s="122">
        <f t="shared" si="10"/>
        <v>69</v>
      </c>
      <c r="B100" s="166">
        <v>1.953125E-2</v>
      </c>
      <c r="C100" s="186">
        <v>10</v>
      </c>
      <c r="D100" s="187">
        <v>10</v>
      </c>
      <c r="E100" s="187">
        <v>10</v>
      </c>
      <c r="F100" s="187">
        <v>10</v>
      </c>
      <c r="G100" s="187">
        <v>10</v>
      </c>
      <c r="H100" s="187">
        <v>10</v>
      </c>
      <c r="I100" s="187">
        <v>10</v>
      </c>
      <c r="J100" s="187">
        <v>10</v>
      </c>
      <c r="K100" s="187">
        <v>10</v>
      </c>
      <c r="L100" s="187">
        <v>10</v>
      </c>
      <c r="M100" s="166">
        <v>0</v>
      </c>
      <c r="N100" s="16" t="str">
        <f t="shared" si="11"/>
        <v/>
      </c>
    </row>
    <row r="101" spans="1:14" s="15" customFormat="1" x14ac:dyDescent="0.25">
      <c r="A101" s="122">
        <f t="shared" si="10"/>
        <v>70</v>
      </c>
      <c r="B101" s="166">
        <v>1.953125E-2</v>
      </c>
      <c r="C101" s="186">
        <v>10</v>
      </c>
      <c r="D101" s="187">
        <v>10</v>
      </c>
      <c r="E101" s="187">
        <v>10</v>
      </c>
      <c r="F101" s="187">
        <v>10</v>
      </c>
      <c r="G101" s="187">
        <v>10</v>
      </c>
      <c r="H101" s="187">
        <v>10</v>
      </c>
      <c r="I101" s="187">
        <v>10</v>
      </c>
      <c r="J101" s="187">
        <v>10</v>
      </c>
      <c r="K101" s="187">
        <v>10</v>
      </c>
      <c r="L101" s="187">
        <v>10</v>
      </c>
      <c r="M101" s="166">
        <v>0</v>
      </c>
      <c r="N101" s="16" t="str">
        <f t="shared" si="11"/>
        <v/>
      </c>
    </row>
    <row r="102" spans="1:14" s="15" customFormat="1" x14ac:dyDescent="0.25">
      <c r="A102" s="122">
        <f t="shared" si="10"/>
        <v>71</v>
      </c>
      <c r="B102" s="166">
        <v>5</v>
      </c>
      <c r="C102" s="186">
        <v>10</v>
      </c>
      <c r="D102" s="187">
        <v>10</v>
      </c>
      <c r="E102" s="187">
        <v>10</v>
      </c>
      <c r="F102" s="187">
        <v>10</v>
      </c>
      <c r="G102" s="187">
        <v>10</v>
      </c>
      <c r="H102" s="187">
        <v>10</v>
      </c>
      <c r="I102" s="187">
        <v>10</v>
      </c>
      <c r="J102" s="187">
        <v>10</v>
      </c>
      <c r="K102" s="187">
        <v>10</v>
      </c>
      <c r="L102" s="187">
        <v>10</v>
      </c>
      <c r="M102" s="166">
        <v>0</v>
      </c>
      <c r="N102" s="16" t="str">
        <f t="shared" si="11"/>
        <v/>
      </c>
    </row>
    <row r="103" spans="1:14" s="15" customFormat="1" x14ac:dyDescent="0.25">
      <c r="A103" s="122">
        <f t="shared" si="10"/>
        <v>72</v>
      </c>
      <c r="B103" s="166">
        <v>2.5</v>
      </c>
      <c r="C103" s="186">
        <v>10</v>
      </c>
      <c r="D103" s="187">
        <v>10</v>
      </c>
      <c r="E103" s="187">
        <v>10</v>
      </c>
      <c r="F103" s="187">
        <v>10</v>
      </c>
      <c r="G103" s="187">
        <v>10</v>
      </c>
      <c r="H103" s="187">
        <v>10</v>
      </c>
      <c r="I103" s="187">
        <v>10</v>
      </c>
      <c r="J103" s="187">
        <v>10</v>
      </c>
      <c r="K103" s="187">
        <v>10</v>
      </c>
      <c r="L103" s="187">
        <v>10</v>
      </c>
      <c r="M103" s="166">
        <v>0</v>
      </c>
      <c r="N103" s="16" t="str">
        <f t="shared" si="11"/>
        <v/>
      </c>
    </row>
    <row r="104" spans="1:14" s="15" customFormat="1" x14ac:dyDescent="0.25">
      <c r="A104" s="122">
        <f t="shared" si="10"/>
        <v>73</v>
      </c>
      <c r="B104" s="166">
        <v>1.25</v>
      </c>
      <c r="C104" s="186">
        <v>10</v>
      </c>
      <c r="D104" s="187">
        <v>10</v>
      </c>
      <c r="E104" s="187">
        <v>10</v>
      </c>
      <c r="F104" s="187">
        <v>10</v>
      </c>
      <c r="G104" s="187">
        <v>10</v>
      </c>
      <c r="H104" s="187">
        <v>10</v>
      </c>
      <c r="I104" s="187">
        <v>10</v>
      </c>
      <c r="J104" s="187">
        <v>10</v>
      </c>
      <c r="K104" s="187">
        <v>10</v>
      </c>
      <c r="L104" s="187">
        <v>10</v>
      </c>
      <c r="M104" s="166">
        <v>0</v>
      </c>
      <c r="N104" s="16" t="str">
        <f t="shared" si="11"/>
        <v/>
      </c>
    </row>
    <row r="105" spans="1:14" s="15" customFormat="1" x14ac:dyDescent="0.25">
      <c r="A105" s="122">
        <f t="shared" si="10"/>
        <v>74</v>
      </c>
      <c r="B105" s="166">
        <v>0.625</v>
      </c>
      <c r="C105" s="186">
        <v>10</v>
      </c>
      <c r="D105" s="187">
        <v>10</v>
      </c>
      <c r="E105" s="187">
        <v>10</v>
      </c>
      <c r="F105" s="187">
        <v>10</v>
      </c>
      <c r="G105" s="187">
        <v>10</v>
      </c>
      <c r="H105" s="187">
        <v>10</v>
      </c>
      <c r="I105" s="187">
        <v>10</v>
      </c>
      <c r="J105" s="187">
        <v>10</v>
      </c>
      <c r="K105" s="187">
        <v>10</v>
      </c>
      <c r="L105" s="187">
        <v>10</v>
      </c>
      <c r="M105" s="166">
        <v>0</v>
      </c>
      <c r="N105" s="16" t="str">
        <f t="shared" si="11"/>
        <v/>
      </c>
    </row>
    <row r="106" spans="1:14" s="15" customFormat="1" x14ac:dyDescent="0.25">
      <c r="A106" s="122">
        <f t="shared" si="10"/>
        <v>75</v>
      </c>
      <c r="B106" s="166">
        <v>0.3125</v>
      </c>
      <c r="C106" s="186">
        <v>10</v>
      </c>
      <c r="D106" s="187">
        <v>10</v>
      </c>
      <c r="E106" s="187">
        <v>10</v>
      </c>
      <c r="F106" s="187">
        <v>10</v>
      </c>
      <c r="G106" s="187">
        <v>10</v>
      </c>
      <c r="H106" s="187">
        <v>10</v>
      </c>
      <c r="I106" s="187">
        <v>10</v>
      </c>
      <c r="J106" s="187">
        <v>10</v>
      </c>
      <c r="K106" s="187">
        <v>10</v>
      </c>
      <c r="L106" s="187">
        <v>10</v>
      </c>
      <c r="M106" s="166">
        <v>0</v>
      </c>
      <c r="N106" s="16" t="str">
        <f t="shared" si="11"/>
        <v/>
      </c>
    </row>
    <row r="107" spans="1:14" s="15" customFormat="1" x14ac:dyDescent="0.25">
      <c r="A107" s="122">
        <f t="shared" si="10"/>
        <v>76</v>
      </c>
      <c r="B107" s="166">
        <v>0.15625</v>
      </c>
      <c r="C107" s="186">
        <v>10</v>
      </c>
      <c r="D107" s="187">
        <v>10</v>
      </c>
      <c r="E107" s="187">
        <v>10</v>
      </c>
      <c r="F107" s="187">
        <v>10</v>
      </c>
      <c r="G107" s="187">
        <v>10</v>
      </c>
      <c r="H107" s="187">
        <v>10</v>
      </c>
      <c r="I107" s="187">
        <v>10</v>
      </c>
      <c r="J107" s="187">
        <v>10</v>
      </c>
      <c r="K107" s="187">
        <v>10</v>
      </c>
      <c r="L107" s="187">
        <v>10</v>
      </c>
      <c r="M107" s="166">
        <v>0</v>
      </c>
      <c r="N107" s="16" t="str">
        <f t="shared" si="11"/>
        <v/>
      </c>
    </row>
    <row r="108" spans="1:14" s="15" customFormat="1" x14ac:dyDescent="0.25">
      <c r="A108" s="122">
        <f t="shared" si="10"/>
        <v>77</v>
      </c>
      <c r="B108" s="166">
        <v>7.8125E-2</v>
      </c>
      <c r="C108" s="186">
        <v>10</v>
      </c>
      <c r="D108" s="187">
        <v>10</v>
      </c>
      <c r="E108" s="187">
        <v>10</v>
      </c>
      <c r="F108" s="187">
        <v>10</v>
      </c>
      <c r="G108" s="187">
        <v>10</v>
      </c>
      <c r="H108" s="187">
        <v>10</v>
      </c>
      <c r="I108" s="187">
        <v>10</v>
      </c>
      <c r="J108" s="187">
        <v>10</v>
      </c>
      <c r="K108" s="187">
        <v>10</v>
      </c>
      <c r="L108" s="187">
        <v>10</v>
      </c>
      <c r="M108" s="166">
        <v>0</v>
      </c>
      <c r="N108" s="16" t="str">
        <f t="shared" si="11"/>
        <v/>
      </c>
    </row>
    <row r="109" spans="1:14" s="15" customFormat="1" x14ac:dyDescent="0.25">
      <c r="A109" s="122">
        <f t="shared" si="10"/>
        <v>78</v>
      </c>
      <c r="B109" s="166">
        <v>3.90625E-2</v>
      </c>
      <c r="C109" s="186">
        <v>10</v>
      </c>
      <c r="D109" s="187">
        <v>10</v>
      </c>
      <c r="E109" s="187">
        <v>10</v>
      </c>
      <c r="F109" s="187">
        <v>10</v>
      </c>
      <c r="G109" s="187">
        <v>10</v>
      </c>
      <c r="H109" s="187">
        <v>10</v>
      </c>
      <c r="I109" s="187">
        <v>10</v>
      </c>
      <c r="J109" s="187">
        <v>10</v>
      </c>
      <c r="K109" s="187">
        <v>10</v>
      </c>
      <c r="L109" s="187">
        <v>10</v>
      </c>
      <c r="M109" s="166">
        <v>0</v>
      </c>
      <c r="N109" s="16" t="str">
        <f t="shared" si="11"/>
        <v/>
      </c>
    </row>
    <row r="110" spans="1:14" s="15" customFormat="1" x14ac:dyDescent="0.25">
      <c r="A110" s="122">
        <f t="shared" si="10"/>
        <v>79</v>
      </c>
      <c r="B110" s="166">
        <v>1.953125E-2</v>
      </c>
      <c r="C110" s="186">
        <v>10</v>
      </c>
      <c r="D110" s="187">
        <v>10</v>
      </c>
      <c r="E110" s="187">
        <v>10</v>
      </c>
      <c r="F110" s="187">
        <v>10</v>
      </c>
      <c r="G110" s="187">
        <v>10</v>
      </c>
      <c r="H110" s="187">
        <v>10</v>
      </c>
      <c r="I110" s="187">
        <v>10</v>
      </c>
      <c r="J110" s="187">
        <v>10</v>
      </c>
      <c r="K110" s="187">
        <v>10</v>
      </c>
      <c r="L110" s="187">
        <v>10</v>
      </c>
      <c r="M110" s="166">
        <v>0</v>
      </c>
      <c r="N110" s="16" t="str">
        <f t="shared" si="11"/>
        <v/>
      </c>
    </row>
    <row r="111" spans="1:14" s="15" customFormat="1" x14ac:dyDescent="0.25">
      <c r="A111" s="122">
        <f t="shared" si="10"/>
        <v>80</v>
      </c>
      <c r="B111" s="166">
        <v>1.953125E-2</v>
      </c>
      <c r="C111" s="186">
        <v>10</v>
      </c>
      <c r="D111" s="187">
        <v>10</v>
      </c>
      <c r="E111" s="187">
        <v>10</v>
      </c>
      <c r="F111" s="187">
        <v>10</v>
      </c>
      <c r="G111" s="187">
        <v>10</v>
      </c>
      <c r="H111" s="187">
        <v>10</v>
      </c>
      <c r="I111" s="187">
        <v>10</v>
      </c>
      <c r="J111" s="187">
        <v>10</v>
      </c>
      <c r="K111" s="187">
        <v>10</v>
      </c>
      <c r="L111" s="187">
        <v>10</v>
      </c>
      <c r="M111" s="166">
        <v>0</v>
      </c>
      <c r="N111" s="16" t="str">
        <f t="shared" si="11"/>
        <v/>
      </c>
    </row>
    <row r="112" spans="1:14" s="15" customFormat="1" x14ac:dyDescent="0.25">
      <c r="A112" s="122">
        <f t="shared" si="10"/>
        <v>81</v>
      </c>
      <c r="B112" s="166">
        <v>5</v>
      </c>
      <c r="C112" s="186">
        <v>10</v>
      </c>
      <c r="D112" s="187">
        <v>10</v>
      </c>
      <c r="E112" s="187">
        <v>10</v>
      </c>
      <c r="F112" s="187">
        <v>10</v>
      </c>
      <c r="G112" s="187">
        <v>10</v>
      </c>
      <c r="H112" s="187">
        <v>10</v>
      </c>
      <c r="I112" s="187">
        <v>10</v>
      </c>
      <c r="J112" s="187">
        <v>10</v>
      </c>
      <c r="K112" s="187">
        <v>10</v>
      </c>
      <c r="L112" s="187">
        <v>10</v>
      </c>
      <c r="M112" s="166">
        <v>0</v>
      </c>
      <c r="N112" s="16" t="str">
        <f t="shared" si="11"/>
        <v/>
      </c>
    </row>
    <row r="113" spans="1:14" s="15" customFormat="1" x14ac:dyDescent="0.25">
      <c r="A113" s="122">
        <f t="shared" si="10"/>
        <v>82</v>
      </c>
      <c r="B113" s="166">
        <v>2.5</v>
      </c>
      <c r="C113" s="186">
        <v>10</v>
      </c>
      <c r="D113" s="187">
        <v>10</v>
      </c>
      <c r="E113" s="187">
        <v>10</v>
      </c>
      <c r="F113" s="187">
        <v>10</v>
      </c>
      <c r="G113" s="187">
        <v>10</v>
      </c>
      <c r="H113" s="187">
        <v>10</v>
      </c>
      <c r="I113" s="187">
        <v>10</v>
      </c>
      <c r="J113" s="187">
        <v>10</v>
      </c>
      <c r="K113" s="187">
        <v>10</v>
      </c>
      <c r="L113" s="187">
        <v>10</v>
      </c>
      <c r="M113" s="166">
        <v>0</v>
      </c>
      <c r="N113" s="16" t="str">
        <f t="shared" si="11"/>
        <v/>
      </c>
    </row>
    <row r="114" spans="1:14" s="15" customFormat="1" x14ac:dyDescent="0.25">
      <c r="A114" s="122">
        <f t="shared" si="10"/>
        <v>83</v>
      </c>
      <c r="B114" s="166">
        <v>1.25</v>
      </c>
      <c r="C114" s="186">
        <v>10</v>
      </c>
      <c r="D114" s="187">
        <v>10</v>
      </c>
      <c r="E114" s="187">
        <v>10</v>
      </c>
      <c r="F114" s="187">
        <v>10</v>
      </c>
      <c r="G114" s="187">
        <v>10</v>
      </c>
      <c r="H114" s="187">
        <v>10</v>
      </c>
      <c r="I114" s="187">
        <v>10</v>
      </c>
      <c r="J114" s="187">
        <v>10</v>
      </c>
      <c r="K114" s="187">
        <v>10</v>
      </c>
      <c r="L114" s="187">
        <v>10</v>
      </c>
      <c r="M114" s="166">
        <v>0</v>
      </c>
      <c r="N114" s="16" t="str">
        <f t="shared" si="11"/>
        <v/>
      </c>
    </row>
    <row r="115" spans="1:14" s="15" customFormat="1" x14ac:dyDescent="0.25">
      <c r="A115" s="122">
        <f t="shared" si="10"/>
        <v>84</v>
      </c>
      <c r="B115" s="166">
        <v>0.625</v>
      </c>
      <c r="C115" s="186">
        <v>10</v>
      </c>
      <c r="D115" s="187">
        <v>10</v>
      </c>
      <c r="E115" s="187">
        <v>10</v>
      </c>
      <c r="F115" s="187">
        <v>10</v>
      </c>
      <c r="G115" s="187">
        <v>10</v>
      </c>
      <c r="H115" s="187">
        <v>10</v>
      </c>
      <c r="I115" s="187">
        <v>10</v>
      </c>
      <c r="J115" s="187">
        <v>10</v>
      </c>
      <c r="K115" s="187">
        <v>10</v>
      </c>
      <c r="L115" s="187">
        <v>10</v>
      </c>
      <c r="M115" s="166">
        <v>0</v>
      </c>
      <c r="N115" s="16" t="str">
        <f t="shared" si="11"/>
        <v/>
      </c>
    </row>
    <row r="116" spans="1:14" s="15" customFormat="1" x14ac:dyDescent="0.25">
      <c r="A116" s="122">
        <f t="shared" si="10"/>
        <v>85</v>
      </c>
      <c r="B116" s="166">
        <v>0.3125</v>
      </c>
      <c r="C116" s="186">
        <v>10</v>
      </c>
      <c r="D116" s="187">
        <v>10</v>
      </c>
      <c r="E116" s="187">
        <v>10</v>
      </c>
      <c r="F116" s="187">
        <v>10</v>
      </c>
      <c r="G116" s="187">
        <v>10</v>
      </c>
      <c r="H116" s="187">
        <v>10</v>
      </c>
      <c r="I116" s="187">
        <v>10</v>
      </c>
      <c r="J116" s="187">
        <v>10</v>
      </c>
      <c r="K116" s="187">
        <v>10</v>
      </c>
      <c r="L116" s="187">
        <v>10</v>
      </c>
      <c r="M116" s="166">
        <v>0</v>
      </c>
      <c r="N116" s="16" t="str">
        <f t="shared" si="11"/>
        <v/>
      </c>
    </row>
    <row r="117" spans="1:14" s="15" customFormat="1" x14ac:dyDescent="0.25">
      <c r="A117" s="122">
        <f t="shared" si="10"/>
        <v>86</v>
      </c>
      <c r="B117" s="166">
        <v>0.15625</v>
      </c>
      <c r="C117" s="186">
        <v>10</v>
      </c>
      <c r="D117" s="187">
        <v>10</v>
      </c>
      <c r="E117" s="187">
        <v>10</v>
      </c>
      <c r="F117" s="187">
        <v>10</v>
      </c>
      <c r="G117" s="187">
        <v>10</v>
      </c>
      <c r="H117" s="187">
        <v>10</v>
      </c>
      <c r="I117" s="187">
        <v>10</v>
      </c>
      <c r="J117" s="187">
        <v>10</v>
      </c>
      <c r="K117" s="187">
        <v>10</v>
      </c>
      <c r="L117" s="187">
        <v>10</v>
      </c>
      <c r="M117" s="166">
        <v>0</v>
      </c>
      <c r="N117" s="16" t="str">
        <f t="shared" si="11"/>
        <v/>
      </c>
    </row>
    <row r="118" spans="1:14" s="15" customFormat="1" x14ac:dyDescent="0.25">
      <c r="A118" s="122">
        <f t="shared" si="10"/>
        <v>87</v>
      </c>
      <c r="B118" s="166">
        <v>7.8125E-2</v>
      </c>
      <c r="C118" s="186">
        <v>10</v>
      </c>
      <c r="D118" s="187">
        <v>10</v>
      </c>
      <c r="E118" s="187">
        <v>10</v>
      </c>
      <c r="F118" s="187">
        <v>10</v>
      </c>
      <c r="G118" s="187">
        <v>10</v>
      </c>
      <c r="H118" s="187">
        <v>10</v>
      </c>
      <c r="I118" s="187">
        <v>10</v>
      </c>
      <c r="J118" s="187">
        <v>10</v>
      </c>
      <c r="K118" s="187">
        <v>10</v>
      </c>
      <c r="L118" s="187">
        <v>10</v>
      </c>
      <c r="M118" s="166">
        <v>0</v>
      </c>
      <c r="N118" s="16" t="str">
        <f t="shared" si="11"/>
        <v/>
      </c>
    </row>
    <row r="119" spans="1:14" s="15" customFormat="1" x14ac:dyDescent="0.25">
      <c r="A119" s="122">
        <f t="shared" si="10"/>
        <v>88</v>
      </c>
      <c r="B119" s="166">
        <v>3.90625E-2</v>
      </c>
      <c r="C119" s="186">
        <v>10</v>
      </c>
      <c r="D119" s="187">
        <v>10</v>
      </c>
      <c r="E119" s="187">
        <v>10</v>
      </c>
      <c r="F119" s="187">
        <v>10</v>
      </c>
      <c r="G119" s="187">
        <v>10</v>
      </c>
      <c r="H119" s="187">
        <v>10</v>
      </c>
      <c r="I119" s="187">
        <v>10</v>
      </c>
      <c r="J119" s="187">
        <v>10</v>
      </c>
      <c r="K119" s="187">
        <v>10</v>
      </c>
      <c r="L119" s="187">
        <v>10</v>
      </c>
      <c r="M119" s="166">
        <v>0</v>
      </c>
      <c r="N119" s="16" t="str">
        <f t="shared" si="11"/>
        <v/>
      </c>
    </row>
    <row r="120" spans="1:14" s="15" customFormat="1" x14ac:dyDescent="0.25">
      <c r="A120" s="122">
        <f t="shared" si="10"/>
        <v>89</v>
      </c>
      <c r="B120" s="166">
        <v>1.953125E-2</v>
      </c>
      <c r="C120" s="186">
        <v>10</v>
      </c>
      <c r="D120" s="187">
        <v>10</v>
      </c>
      <c r="E120" s="187">
        <v>10</v>
      </c>
      <c r="F120" s="187">
        <v>10</v>
      </c>
      <c r="G120" s="187">
        <v>10</v>
      </c>
      <c r="H120" s="187">
        <v>10</v>
      </c>
      <c r="I120" s="187">
        <v>10</v>
      </c>
      <c r="J120" s="187">
        <v>10</v>
      </c>
      <c r="K120" s="187">
        <v>10</v>
      </c>
      <c r="L120" s="187">
        <v>10</v>
      </c>
      <c r="M120" s="166">
        <v>0</v>
      </c>
      <c r="N120" s="16" t="str">
        <f t="shared" si="11"/>
        <v/>
      </c>
    </row>
    <row r="121" spans="1:14" s="15" customFormat="1" x14ac:dyDescent="0.25">
      <c r="A121" s="122">
        <f t="shared" si="10"/>
        <v>90</v>
      </c>
      <c r="B121" s="166">
        <v>1.953125E-2</v>
      </c>
      <c r="C121" s="186">
        <v>10</v>
      </c>
      <c r="D121" s="187">
        <v>10</v>
      </c>
      <c r="E121" s="187">
        <v>10</v>
      </c>
      <c r="F121" s="187">
        <v>10</v>
      </c>
      <c r="G121" s="187">
        <v>10</v>
      </c>
      <c r="H121" s="187">
        <v>10</v>
      </c>
      <c r="I121" s="187">
        <v>10</v>
      </c>
      <c r="J121" s="187">
        <v>10</v>
      </c>
      <c r="K121" s="187">
        <v>10</v>
      </c>
      <c r="L121" s="187">
        <v>10</v>
      </c>
      <c r="M121" s="166">
        <v>0</v>
      </c>
      <c r="N121" s="16" t="str">
        <f t="shared" si="11"/>
        <v/>
      </c>
    </row>
    <row r="122" spans="1:14" s="15" customFormat="1" x14ac:dyDescent="0.25">
      <c r="A122" s="122">
        <f t="shared" si="10"/>
        <v>91</v>
      </c>
      <c r="B122" s="166">
        <v>5</v>
      </c>
      <c r="C122" s="186">
        <v>10</v>
      </c>
      <c r="D122" s="187">
        <v>10</v>
      </c>
      <c r="E122" s="187">
        <v>10</v>
      </c>
      <c r="F122" s="187">
        <v>10</v>
      </c>
      <c r="G122" s="187">
        <v>10</v>
      </c>
      <c r="H122" s="187">
        <v>10</v>
      </c>
      <c r="I122" s="187">
        <v>10</v>
      </c>
      <c r="J122" s="187">
        <v>10</v>
      </c>
      <c r="K122" s="187">
        <v>10</v>
      </c>
      <c r="L122" s="187">
        <v>10</v>
      </c>
      <c r="M122" s="166">
        <v>0</v>
      </c>
      <c r="N122" s="16" t="str">
        <f t="shared" si="11"/>
        <v/>
      </c>
    </row>
    <row r="123" spans="1:14" s="15" customFormat="1" x14ac:dyDescent="0.25">
      <c r="A123" s="122">
        <f t="shared" si="10"/>
        <v>92</v>
      </c>
      <c r="B123" s="166">
        <v>2.5</v>
      </c>
      <c r="C123" s="186">
        <v>10</v>
      </c>
      <c r="D123" s="187">
        <v>10</v>
      </c>
      <c r="E123" s="187">
        <v>10</v>
      </c>
      <c r="F123" s="187">
        <v>10</v>
      </c>
      <c r="G123" s="187">
        <v>10</v>
      </c>
      <c r="H123" s="187">
        <v>10</v>
      </c>
      <c r="I123" s="187">
        <v>10</v>
      </c>
      <c r="J123" s="187">
        <v>10</v>
      </c>
      <c r="K123" s="187">
        <v>10</v>
      </c>
      <c r="L123" s="187">
        <v>10</v>
      </c>
      <c r="M123" s="166">
        <v>0</v>
      </c>
      <c r="N123" s="16" t="str">
        <f t="shared" si="11"/>
        <v/>
      </c>
    </row>
    <row r="124" spans="1:14" s="15" customFormat="1" x14ac:dyDescent="0.25">
      <c r="A124" s="122">
        <f t="shared" si="10"/>
        <v>93</v>
      </c>
      <c r="B124" s="166">
        <v>1.25</v>
      </c>
      <c r="C124" s="186">
        <v>10</v>
      </c>
      <c r="D124" s="187">
        <v>10</v>
      </c>
      <c r="E124" s="187">
        <v>10</v>
      </c>
      <c r="F124" s="187">
        <v>10</v>
      </c>
      <c r="G124" s="187">
        <v>10</v>
      </c>
      <c r="H124" s="187">
        <v>10</v>
      </c>
      <c r="I124" s="187">
        <v>10</v>
      </c>
      <c r="J124" s="187">
        <v>10</v>
      </c>
      <c r="K124" s="187">
        <v>10</v>
      </c>
      <c r="L124" s="187">
        <v>10</v>
      </c>
      <c r="M124" s="166">
        <v>0</v>
      </c>
      <c r="N124" s="16" t="str">
        <f t="shared" si="11"/>
        <v/>
      </c>
    </row>
    <row r="125" spans="1:14" s="15" customFormat="1" x14ac:dyDescent="0.25">
      <c r="A125" s="122">
        <f t="shared" si="10"/>
        <v>94</v>
      </c>
      <c r="B125" s="166">
        <v>0.625</v>
      </c>
      <c r="C125" s="186">
        <v>10</v>
      </c>
      <c r="D125" s="187">
        <v>10</v>
      </c>
      <c r="E125" s="187">
        <v>10</v>
      </c>
      <c r="F125" s="187">
        <v>10</v>
      </c>
      <c r="G125" s="187">
        <v>10</v>
      </c>
      <c r="H125" s="187">
        <v>10</v>
      </c>
      <c r="I125" s="187">
        <v>10</v>
      </c>
      <c r="J125" s="187">
        <v>10</v>
      </c>
      <c r="K125" s="187">
        <v>10</v>
      </c>
      <c r="L125" s="187">
        <v>10</v>
      </c>
      <c r="M125" s="166">
        <v>0</v>
      </c>
      <c r="N125" s="16" t="str">
        <f t="shared" si="11"/>
        <v/>
      </c>
    </row>
    <row r="126" spans="1:14" s="15" customFormat="1" x14ac:dyDescent="0.25">
      <c r="A126" s="122">
        <f t="shared" si="10"/>
        <v>95</v>
      </c>
      <c r="B126" s="166">
        <v>0.3125</v>
      </c>
      <c r="C126" s="186">
        <v>10</v>
      </c>
      <c r="D126" s="187">
        <v>10</v>
      </c>
      <c r="E126" s="187">
        <v>10</v>
      </c>
      <c r="F126" s="187">
        <v>10</v>
      </c>
      <c r="G126" s="187">
        <v>10</v>
      </c>
      <c r="H126" s="187">
        <v>10</v>
      </c>
      <c r="I126" s="187">
        <v>10</v>
      </c>
      <c r="J126" s="187">
        <v>10</v>
      </c>
      <c r="K126" s="187">
        <v>10</v>
      </c>
      <c r="L126" s="187">
        <v>10</v>
      </c>
      <c r="M126" s="166">
        <v>0</v>
      </c>
      <c r="N126" s="16" t="str">
        <f t="shared" si="11"/>
        <v/>
      </c>
    </row>
    <row r="127" spans="1:14" s="15" customFormat="1" x14ac:dyDescent="0.25">
      <c r="A127" s="122">
        <f t="shared" si="10"/>
        <v>96</v>
      </c>
      <c r="B127" s="166">
        <v>0.15625</v>
      </c>
      <c r="C127" s="186">
        <v>10</v>
      </c>
      <c r="D127" s="187">
        <v>10</v>
      </c>
      <c r="E127" s="187">
        <v>10</v>
      </c>
      <c r="F127" s="187">
        <v>10</v>
      </c>
      <c r="G127" s="187">
        <v>10</v>
      </c>
      <c r="H127" s="187">
        <v>10</v>
      </c>
      <c r="I127" s="187">
        <v>10</v>
      </c>
      <c r="J127" s="187">
        <v>10</v>
      </c>
      <c r="K127" s="187">
        <v>10</v>
      </c>
      <c r="L127" s="187">
        <v>10</v>
      </c>
      <c r="M127" s="166">
        <v>0</v>
      </c>
      <c r="N127" s="16" t="str">
        <f t="shared" si="11"/>
        <v/>
      </c>
    </row>
    <row r="128" spans="1:14" s="15" customFormat="1" x14ac:dyDescent="0.25">
      <c r="A128" s="122">
        <f t="shared" si="10"/>
        <v>97</v>
      </c>
      <c r="B128" s="166">
        <v>7.8125E-2</v>
      </c>
      <c r="C128" s="186">
        <v>10</v>
      </c>
      <c r="D128" s="187">
        <v>10</v>
      </c>
      <c r="E128" s="187">
        <v>10</v>
      </c>
      <c r="F128" s="187">
        <v>10</v>
      </c>
      <c r="G128" s="187">
        <v>10</v>
      </c>
      <c r="H128" s="187">
        <v>10</v>
      </c>
      <c r="I128" s="187">
        <v>10</v>
      </c>
      <c r="J128" s="187">
        <v>10</v>
      </c>
      <c r="K128" s="187">
        <v>10</v>
      </c>
      <c r="L128" s="187">
        <v>10</v>
      </c>
      <c r="M128" s="166">
        <v>0</v>
      </c>
      <c r="N128" s="16" t="str">
        <f t="shared" ref="N128:N131" si="12">IF(AND(B128&lt;&gt;0,VFLAW_PLATE_ARdefault="no"),IF(SUM(C128:M128)=100,"","Sum must equal 100%"),"")</f>
        <v/>
      </c>
    </row>
    <row r="129" spans="1:14" s="15" customFormat="1" x14ac:dyDescent="0.25">
      <c r="A129" s="122">
        <f t="shared" si="10"/>
        <v>98</v>
      </c>
      <c r="B129" s="166">
        <v>3.90625E-2</v>
      </c>
      <c r="C129" s="186">
        <v>10</v>
      </c>
      <c r="D129" s="187">
        <v>10</v>
      </c>
      <c r="E129" s="187">
        <v>10</v>
      </c>
      <c r="F129" s="187">
        <v>10</v>
      </c>
      <c r="G129" s="187">
        <v>10</v>
      </c>
      <c r="H129" s="187">
        <v>10</v>
      </c>
      <c r="I129" s="187">
        <v>10</v>
      </c>
      <c r="J129" s="187">
        <v>10</v>
      </c>
      <c r="K129" s="187">
        <v>10</v>
      </c>
      <c r="L129" s="187">
        <v>10</v>
      </c>
      <c r="M129" s="166">
        <v>0</v>
      </c>
      <c r="N129" s="16" t="str">
        <f t="shared" si="12"/>
        <v/>
      </c>
    </row>
    <row r="130" spans="1:14" s="15" customFormat="1" x14ac:dyDescent="0.25">
      <c r="A130" s="122">
        <f t="shared" si="10"/>
        <v>99</v>
      </c>
      <c r="B130" s="166">
        <v>1.953125E-2</v>
      </c>
      <c r="C130" s="186">
        <v>10</v>
      </c>
      <c r="D130" s="187">
        <v>10</v>
      </c>
      <c r="E130" s="187">
        <v>10</v>
      </c>
      <c r="F130" s="187">
        <v>10</v>
      </c>
      <c r="G130" s="187">
        <v>10</v>
      </c>
      <c r="H130" s="187">
        <v>10</v>
      </c>
      <c r="I130" s="187">
        <v>10</v>
      </c>
      <c r="J130" s="187">
        <v>10</v>
      </c>
      <c r="K130" s="187">
        <v>10</v>
      </c>
      <c r="L130" s="187">
        <v>10</v>
      </c>
      <c r="M130" s="166">
        <v>0</v>
      </c>
      <c r="N130" s="16" t="str">
        <f t="shared" si="12"/>
        <v/>
      </c>
    </row>
    <row r="131" spans="1:14" s="15" customFormat="1" ht="15.75" thickBot="1" x14ac:dyDescent="0.3">
      <c r="A131" s="125">
        <f t="shared" si="10"/>
        <v>100</v>
      </c>
      <c r="B131" s="188">
        <v>1.953125E-2</v>
      </c>
      <c r="C131" s="189">
        <v>10</v>
      </c>
      <c r="D131" s="190">
        <v>10</v>
      </c>
      <c r="E131" s="190">
        <v>10</v>
      </c>
      <c r="F131" s="190">
        <v>10</v>
      </c>
      <c r="G131" s="190">
        <v>10</v>
      </c>
      <c r="H131" s="190">
        <v>10</v>
      </c>
      <c r="I131" s="190">
        <v>10</v>
      </c>
      <c r="J131" s="190">
        <v>10</v>
      </c>
      <c r="K131" s="190">
        <v>10</v>
      </c>
      <c r="L131" s="190">
        <v>10</v>
      </c>
      <c r="M131" s="188">
        <v>0</v>
      </c>
      <c r="N131" s="16" t="str">
        <f t="shared" si="12"/>
        <v/>
      </c>
    </row>
    <row r="132" spans="1:14" x14ac:dyDescent="0.25">
      <c r="G132" s="113"/>
      <c r="H132" s="113"/>
      <c r="I132" s="113"/>
      <c r="J132" s="113"/>
      <c r="K132" s="113"/>
      <c r="L132" s="113"/>
    </row>
  </sheetData>
  <sheetProtection sheet="1" objects="1" scenarios="1"/>
  <dataValidations count="3">
    <dataValidation type="list" allowBlank="1" showInputMessage="1" showErrorMessage="1" sqref="C7:C10" xr:uid="{00000000-0002-0000-0C00-000000000000}">
      <formula1>"mm,cm,m,in,ft"</formula1>
    </dataValidation>
    <dataValidation type="whole" allowBlank="1" showInputMessage="1" showErrorMessage="1" sqref="B12" xr:uid="{00000000-0002-0000-0C00-000001000000}">
      <formula1>1</formula1>
      <formula2>100</formula2>
    </dataValidation>
    <dataValidation type="list" allowBlank="1" showInputMessage="1" showErrorMessage="1" sqref="B15" xr:uid="{00000000-0002-0000-0C00-000002000000}">
      <formula1>"no,yes"</formula1>
    </dataValidation>
  </dataValidation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FE12A-0410-48E3-816A-EB661F253976}">
  <sheetPr codeName="Sheet1">
    <tabColor theme="5" tint="0.59999389629810485"/>
  </sheetPr>
  <dimension ref="A1:J17"/>
  <sheetViews>
    <sheetView workbookViewId="0"/>
  </sheetViews>
  <sheetFormatPr defaultColWidth="0" defaultRowHeight="15.75" zeroHeight="1" x14ac:dyDescent="0.25"/>
  <cols>
    <col min="1" max="1" width="25" style="143" customWidth="1"/>
    <col min="2" max="3" width="17.140625" style="88" customWidth="1"/>
    <col min="4" max="4" width="19" style="88" bestFit="1" customWidth="1"/>
    <col min="5" max="5" width="18.5703125" style="192" customWidth="1"/>
    <col min="6" max="6" width="19.140625" style="191" bestFit="1" customWidth="1"/>
    <col min="7" max="7" width="18.5703125" style="193" customWidth="1"/>
    <col min="8" max="8" width="54.28515625" style="3" bestFit="1" customWidth="1"/>
    <col min="9" max="9" width="2.85546875" style="146" customWidth="1"/>
    <col min="10" max="10" width="88.85546875" style="147" bestFit="1" customWidth="1"/>
    <col min="11" max="16384" width="9.140625" style="146" hidden="1"/>
  </cols>
  <sheetData>
    <row r="1" spans="1:8" x14ac:dyDescent="0.25">
      <c r="A1" s="14" t="s">
        <v>9</v>
      </c>
      <c r="B1" s="145"/>
      <c r="C1" s="145"/>
      <c r="D1" s="145"/>
      <c r="E1" s="145"/>
      <c r="F1" s="145"/>
      <c r="G1" s="145"/>
    </row>
    <row r="2" spans="1:8" x14ac:dyDescent="0.25">
      <c r="A2" s="1" t="s">
        <v>190</v>
      </c>
      <c r="B2" s="144" t="s">
        <v>202</v>
      </c>
      <c r="C2" s="145"/>
      <c r="D2" s="145"/>
      <c r="E2" s="145"/>
      <c r="F2" s="145"/>
      <c r="G2" s="145"/>
    </row>
    <row r="3" spans="1:8" x14ac:dyDescent="0.25">
      <c r="A3" s="1" t="s">
        <v>191</v>
      </c>
      <c r="B3" s="29" t="str">
        <f>AFF_Case&amp;".dat"</f>
        <v>AFF5254.dat</v>
      </c>
      <c r="C3" s="145"/>
      <c r="D3" s="145"/>
      <c r="E3" s="145"/>
      <c r="F3" s="145"/>
      <c r="G3" s="145"/>
    </row>
    <row r="4" spans="1:8" x14ac:dyDescent="0.25">
      <c r="A4" s="146"/>
      <c r="B4" s="146"/>
      <c r="C4" s="146"/>
      <c r="D4" s="146"/>
      <c r="E4" s="146"/>
      <c r="F4" s="146"/>
      <c r="G4" s="146"/>
    </row>
    <row r="5" spans="1:8" x14ac:dyDescent="0.25">
      <c r="A5" s="14" t="s">
        <v>180</v>
      </c>
      <c r="B5" s="18"/>
      <c r="C5" s="146"/>
      <c r="D5" s="146"/>
      <c r="E5" s="146"/>
      <c r="F5" s="146"/>
      <c r="G5" s="146"/>
    </row>
    <row r="6" spans="1:8" x14ac:dyDescent="0.25">
      <c r="A6" s="146" t="s">
        <v>184</v>
      </c>
      <c r="B6" s="23">
        <v>0</v>
      </c>
      <c r="C6" s="19" t="s">
        <v>194</v>
      </c>
      <c r="D6" s="146"/>
      <c r="E6" s="146"/>
      <c r="F6" s="146"/>
      <c r="G6" s="146"/>
    </row>
    <row r="7" spans="1:8" x14ac:dyDescent="0.25">
      <c r="A7" s="142" t="s">
        <v>193</v>
      </c>
      <c r="B7" s="20">
        <f>COUNT($A$18:$A$1048576)</f>
        <v>0</v>
      </c>
      <c r="C7" s="19" t="s">
        <v>196</v>
      </c>
      <c r="D7" s="146"/>
      <c r="E7" s="146"/>
      <c r="F7" s="146"/>
      <c r="G7" s="146"/>
    </row>
    <row r="8" spans="1:8" x14ac:dyDescent="0.25">
      <c r="A8" s="146"/>
      <c r="B8" s="146"/>
      <c r="C8" s="146"/>
      <c r="D8" s="146"/>
      <c r="E8" s="146"/>
      <c r="F8" s="146"/>
      <c r="G8" s="146"/>
    </row>
    <row r="9" spans="1:8" x14ac:dyDescent="0.25">
      <c r="A9" s="146"/>
      <c r="B9" s="146"/>
      <c r="C9" s="19" t="s">
        <v>189</v>
      </c>
      <c r="D9" s="146"/>
      <c r="E9" s="146"/>
      <c r="F9" s="146"/>
      <c r="G9" s="146"/>
    </row>
    <row r="10" spans="1:8" x14ac:dyDescent="0.25">
      <c r="A10" s="146"/>
      <c r="B10" s="146"/>
      <c r="C10" s="146"/>
      <c r="D10" s="146"/>
      <c r="E10" s="146"/>
      <c r="F10" s="146"/>
      <c r="G10" s="146"/>
    </row>
    <row r="11" spans="1:8" x14ac:dyDescent="0.25">
      <c r="A11" s="146"/>
      <c r="B11" s="146"/>
      <c r="C11" s="19" t="s">
        <v>188</v>
      </c>
      <c r="D11" s="146"/>
      <c r="E11" s="146"/>
      <c r="F11" s="146"/>
      <c r="G11" s="146"/>
    </row>
    <row r="12" spans="1:8" x14ac:dyDescent="0.25">
      <c r="A12" s="146"/>
      <c r="B12" s="146"/>
      <c r="C12" s="146"/>
      <c r="D12" s="146"/>
      <c r="E12" s="146"/>
      <c r="F12" s="146"/>
      <c r="G12" s="146"/>
    </row>
    <row r="13" spans="1:8" x14ac:dyDescent="0.25">
      <c r="A13" s="146"/>
      <c r="B13" s="146"/>
      <c r="C13" s="19" t="s">
        <v>197</v>
      </c>
      <c r="D13" s="146"/>
      <c r="E13" s="146"/>
      <c r="F13" s="146"/>
      <c r="G13" s="146"/>
    </row>
    <row r="14" spans="1:8" x14ac:dyDescent="0.25">
      <c r="A14" s="146"/>
      <c r="B14" s="146"/>
      <c r="C14" s="146"/>
      <c r="D14" s="146"/>
      <c r="E14" s="146"/>
      <c r="F14" s="146"/>
      <c r="G14" s="146"/>
    </row>
    <row r="15" spans="1:8" ht="16.5" thickBot="1" x14ac:dyDescent="0.3">
      <c r="A15" s="19" t="str">
        <f>IF(AFF_NumFlaws&lt;&gt;AFF_Count,"WARNING: the number of actual input lines does not match the specified number of flaws!","")</f>
        <v/>
      </c>
      <c r="B15" s="146"/>
      <c r="C15" s="146"/>
      <c r="D15" s="146"/>
      <c r="E15" s="146"/>
      <c r="F15" s="146"/>
      <c r="G15" s="146"/>
    </row>
    <row r="16" spans="1:8" ht="45" x14ac:dyDescent="0.25">
      <c r="A16" s="148" t="s">
        <v>178</v>
      </c>
      <c r="B16" s="149" t="s">
        <v>179</v>
      </c>
      <c r="C16" s="150" t="s">
        <v>182</v>
      </c>
      <c r="D16" s="150" t="s">
        <v>183</v>
      </c>
      <c r="E16" s="150" t="s">
        <v>198</v>
      </c>
      <c r="F16" s="150" t="s">
        <v>201</v>
      </c>
      <c r="G16" s="155" t="s">
        <v>199</v>
      </c>
      <c r="H16" s="146"/>
    </row>
    <row r="17" spans="1:10" ht="45.75" thickBot="1" x14ac:dyDescent="0.3">
      <c r="A17" s="151" t="s">
        <v>195</v>
      </c>
      <c r="B17" s="152" t="s">
        <v>185</v>
      </c>
      <c r="C17" s="153" t="s">
        <v>181</v>
      </c>
      <c r="D17" s="152" t="s">
        <v>186</v>
      </c>
      <c r="E17" s="138" t="s">
        <v>33</v>
      </c>
      <c r="F17" s="152" t="s">
        <v>200</v>
      </c>
      <c r="G17" s="139" t="s">
        <v>33</v>
      </c>
      <c r="H17" s="146"/>
      <c r="J17" s="147">
        <v>201</v>
      </c>
    </row>
  </sheetData>
  <sheetProtection sheet="1" objects="1" scenarios="1"/>
  <dataValidations count="2">
    <dataValidation type="list" allowBlank="1" showInputMessage="1" showErrorMessage="1" sqref="E17 G17" xr:uid="{F136B6F9-E3C7-4825-A35C-D79352B9BD38}">
      <formula1>"mm,cm,m,in,ft"</formula1>
    </dataValidation>
    <dataValidation allowBlank="1" showInputMessage="1" showErrorMessage="1" sqref="A18:J1048576" xr:uid="{35A907A0-9C73-4160-9086-A9FFB36FAABC}"/>
  </dataValidations>
  <pageMargins left="0.7" right="0.7" top="0.75" bottom="0.75" header="0.3" footer="0.3"/>
  <pageSetup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199</vt:i4>
      </vt:variant>
    </vt:vector>
  </HeadingPairs>
  <TitlesOfParts>
    <vt:vector size="213" baseType="lpstr">
      <vt:lpstr>0-Input Setup</vt:lpstr>
      <vt:lpstr>1.1-FAVLoad Parameters</vt:lpstr>
      <vt:lpstr>1.2-FAVLoad Materials</vt:lpstr>
      <vt:lpstr>1.3-FAVLoad Transients</vt:lpstr>
      <vt:lpstr>1.4-FAVLoad Input</vt:lpstr>
      <vt:lpstr>2.1-FAVPFM Parameters</vt:lpstr>
      <vt:lpstr>2.2-FAVPFM Embrittlement</vt:lpstr>
      <vt:lpstr>2.3-FAVPFM Input</vt:lpstr>
      <vt:lpstr>3.1-FAVPost Distributions</vt:lpstr>
      <vt:lpstr>3.2-FAVPost Input</vt:lpstr>
      <vt:lpstr>4.1-VFLAW Surface</vt:lpstr>
      <vt:lpstr>4.2-VFLAW Weld</vt:lpstr>
      <vt:lpstr>4.3-VFLAW Plate</vt:lpstr>
      <vt:lpstr>5.1-As-Found Flaws</vt:lpstr>
      <vt:lpstr>AFF_Case</vt:lpstr>
      <vt:lpstr>AFF_Count</vt:lpstr>
      <vt:lpstr>AFF_Data</vt:lpstr>
      <vt:lpstr>AFF_Depth_Unit</vt:lpstr>
      <vt:lpstr>AFF_DistanceID_Unit</vt:lpstr>
      <vt:lpstr>AFF_IN</vt:lpstr>
      <vt:lpstr>AFF_InputRange</vt:lpstr>
      <vt:lpstr>AFF_NumFlaws</vt:lpstr>
      <vt:lpstr>AFFInput</vt:lpstr>
      <vt:lpstr>BASE_A_vals</vt:lpstr>
      <vt:lpstr>BASE_ALPHA</vt:lpstr>
      <vt:lpstr>BASE_C</vt:lpstr>
      <vt:lpstr>BASE_C_vals</vt:lpstr>
      <vt:lpstr>BASE_E</vt:lpstr>
      <vt:lpstr>BASE_E_vals</vt:lpstr>
      <vt:lpstr>BASE_K</vt:lpstr>
      <vt:lpstr>BASE_K_vals</vt:lpstr>
      <vt:lpstr>BASE_N_vals</vt:lpstr>
      <vt:lpstr>BASE_NA</vt:lpstr>
      <vt:lpstr>BASE_NC</vt:lpstr>
      <vt:lpstr>BASE_NE</vt:lpstr>
      <vt:lpstr>BASE_NK</vt:lpstr>
      <vt:lpstr>BASE_NN</vt:lpstr>
      <vt:lpstr>BASE_NTE</vt:lpstr>
      <vt:lpstr>BASE_NU</vt:lpstr>
      <vt:lpstr>BASE_refTemp</vt:lpstr>
      <vt:lpstr>BASE_RHO</vt:lpstr>
      <vt:lpstr>BASE_Tref0</vt:lpstr>
      <vt:lpstr>CLAD_A_vals</vt:lpstr>
      <vt:lpstr>CLAD_ALPHA</vt:lpstr>
      <vt:lpstr>CLAD_C</vt:lpstr>
      <vt:lpstr>CLAD_C_vals</vt:lpstr>
      <vt:lpstr>CLAD_E</vt:lpstr>
      <vt:lpstr>CLAD_E_vals</vt:lpstr>
      <vt:lpstr>CLAD_K</vt:lpstr>
      <vt:lpstr>CLAD_K_vals</vt:lpstr>
      <vt:lpstr>CLAD_N_vals</vt:lpstr>
      <vt:lpstr>CLAD_NA</vt:lpstr>
      <vt:lpstr>CLAD_NC</vt:lpstr>
      <vt:lpstr>CLAD_NE</vt:lpstr>
      <vt:lpstr>CLAD_NK</vt:lpstr>
      <vt:lpstr>CLAD_NN</vt:lpstr>
      <vt:lpstr>CLAD_NTE</vt:lpstr>
      <vt:lpstr>CLAD_NU</vt:lpstr>
      <vt:lpstr>CLAD_refTemp</vt:lpstr>
      <vt:lpstr>CLAD_RHO</vt:lpstr>
      <vt:lpstr>CLAD_Tref0</vt:lpstr>
      <vt:lpstr>CNT1_CHILD_OPT</vt:lpstr>
      <vt:lpstr>CNT1_IGATR</vt:lpstr>
      <vt:lpstr>CNT1_IPFLAW</vt:lpstr>
      <vt:lpstr>CNT1_NSIM</vt:lpstr>
      <vt:lpstr>CNT1_PC3_OPT</vt:lpstr>
      <vt:lpstr>CNT1_RESTART_OPTION</vt:lpstr>
      <vt:lpstr>CNT1_WPS_OPT</vt:lpstr>
      <vt:lpstr>CNT2_EFPY</vt:lpstr>
      <vt:lpstr>CNT2_IDT_INI</vt:lpstr>
      <vt:lpstr>CNT2_IDT_OPT</vt:lpstr>
      <vt:lpstr>CNT2_ILONG_OUT</vt:lpstr>
      <vt:lpstr>CNT2_IRTNDT</vt:lpstr>
      <vt:lpstr>CNT2_TC</vt:lpstr>
      <vt:lpstr>CNT3_FAILCR</vt:lpstr>
      <vt:lpstr>CNT3_FLWSTR</vt:lpstr>
      <vt:lpstr>CNT3_KIa_Model</vt:lpstr>
      <vt:lpstr>CNT3_LAYER_OPTION</vt:lpstr>
      <vt:lpstr>CNT3_USKIA</vt:lpstr>
      <vt:lpstr>CNTL_NTRAN</vt:lpstr>
      <vt:lpstr>DTRF_NT</vt:lpstr>
      <vt:lpstr>Embrittlement_data</vt:lpstr>
      <vt:lpstr>FAVLoad_InputRange</vt:lpstr>
      <vt:lpstr>FAVLoadCase</vt:lpstr>
      <vt:lpstr>FAVLoadIN</vt:lpstr>
      <vt:lpstr>FAVLoadInput</vt:lpstr>
      <vt:lpstr>FAVLoadOUT</vt:lpstr>
      <vt:lpstr>FAVPFM_InputRange</vt:lpstr>
      <vt:lpstr>FAVPFMCase</vt:lpstr>
      <vt:lpstr>FAVPFMIN</vt:lpstr>
      <vt:lpstr>FAVPFMInput</vt:lpstr>
      <vt:lpstr>FAVPFMOUT</vt:lpstr>
      <vt:lpstr>FAVPost_InputRange</vt:lpstr>
      <vt:lpstr>FAVPostCase</vt:lpstr>
      <vt:lpstr>FAVPostIN</vt:lpstr>
      <vt:lpstr>FAVPostInput</vt:lpstr>
      <vt:lpstr>FAVPostOUT</vt:lpstr>
      <vt:lpstr>GENR_SIGFGL</vt:lpstr>
      <vt:lpstr>GENR_SIGFLC</vt:lpstr>
      <vt:lpstr>GEOM_CLTH</vt:lpstr>
      <vt:lpstr>GEOM_IRAD</vt:lpstr>
      <vt:lpstr>GEOM_W</vt:lpstr>
      <vt:lpstr>ISQ_ISEQ_vals</vt:lpstr>
      <vt:lpstr>ISQ_ITRAN_vals</vt:lpstr>
      <vt:lpstr>ISQ_TEND_vals</vt:lpstr>
      <vt:lpstr>ISQ_TSTART_vals</vt:lpstr>
      <vt:lpstr>ITRN_ISEQ_vals</vt:lpstr>
      <vt:lpstr>ITRN_ITRAN_vals</vt:lpstr>
      <vt:lpstr>ITRN_NHIST</vt:lpstr>
      <vt:lpstr>ITRN_vals</vt:lpstr>
      <vt:lpstr>LDQA_ASPECT</vt:lpstr>
      <vt:lpstr>LDQA_IFLOR</vt:lpstr>
      <vt:lpstr>LDQA_IKIND</vt:lpstr>
      <vt:lpstr>LDQA_IOPT</vt:lpstr>
      <vt:lpstr>LDQA_IQA</vt:lpstr>
      <vt:lpstr>LDQA_IWELD</vt:lpstr>
      <vt:lpstr>LDQA_XIN</vt:lpstr>
      <vt:lpstr>LDQA_XVAR</vt:lpstr>
      <vt:lpstr>Load_Transient_Header</vt:lpstr>
      <vt:lpstr>NHTH_NC</vt:lpstr>
      <vt:lpstr>NHTH_vals</vt:lpstr>
      <vt:lpstr>NPRA_NTRAN</vt:lpstr>
      <vt:lpstr>NPTH_NP</vt:lpstr>
      <vt:lpstr>NPTH_vals</vt:lpstr>
      <vt:lpstr>NTTH_NT</vt:lpstr>
      <vt:lpstr>NTTH_vals</vt:lpstr>
      <vt:lpstr>PLAT_NPMAJ</vt:lpstr>
      <vt:lpstr>PLAT_NPSUB</vt:lpstr>
      <vt:lpstr>Post_Transient_Header</vt:lpstr>
      <vt:lpstr>ReadIn_FileName</vt:lpstr>
      <vt:lpstr>RESA_NRAX</vt:lpstr>
      <vt:lpstr>RESC_NRCR</vt:lpstr>
      <vt:lpstr>SFRE_CFP</vt:lpstr>
      <vt:lpstr>SFRE_T</vt:lpstr>
      <vt:lpstr>SIGP_PSIGCU</vt:lpstr>
      <vt:lpstr>SIGP_PSIGNI</vt:lpstr>
      <vt:lpstr>SIGP_PSIGP</vt:lpstr>
      <vt:lpstr>SIGW_WSIGCU</vt:lpstr>
      <vt:lpstr>SIGW_WSIGNI</vt:lpstr>
      <vt:lpstr>SIGW_WSIGP</vt:lpstr>
      <vt:lpstr>STYL_BETA_vals</vt:lpstr>
      <vt:lpstr>STYL_TFINAL_vals</vt:lpstr>
      <vt:lpstr>STYL_TINIT_vals</vt:lpstr>
      <vt:lpstr>TIME_DT</vt:lpstr>
      <vt:lpstr>TIME_TOTAL</vt:lpstr>
      <vt:lpstr>TRAC_FLAW_LOG_OPTION</vt:lpstr>
      <vt:lpstr>TRAC_IRPV</vt:lpstr>
      <vt:lpstr>TRAC_ITRAN</vt:lpstr>
      <vt:lpstr>TRAC_KFLAW</vt:lpstr>
      <vt:lpstr>TRAN_ISEQ_vals</vt:lpstr>
      <vt:lpstr>TRAN_ITRAN_vals</vt:lpstr>
      <vt:lpstr>VFLAW_PLATE_AR10001500</vt:lpstr>
      <vt:lpstr>VFLAW_PLATE_AR100125</vt:lpstr>
      <vt:lpstr>VFLAW_PLATE_AR125150</vt:lpstr>
      <vt:lpstr>VFLAW_PLATE_AR1500inf</vt:lpstr>
      <vt:lpstr>VFLAW_PLATE_AR150200</vt:lpstr>
      <vt:lpstr>VFLAW_PLATE_AR200300</vt:lpstr>
      <vt:lpstr>VFLAW_PLATE_AR300400</vt:lpstr>
      <vt:lpstr>VFLAW_PLATE_AR400500</vt:lpstr>
      <vt:lpstr>VFLAW_PLATE_AR500600</vt:lpstr>
      <vt:lpstr>VFLAW_PLATE_AR600800</vt:lpstr>
      <vt:lpstr>VFLAW_PLATE_AR8001000</vt:lpstr>
      <vt:lpstr>VFLAW_PLATE_ARdefault</vt:lpstr>
      <vt:lpstr>VFLAW_PLATE_CLTH</vt:lpstr>
      <vt:lpstr>VFLAW_PLATE_data</vt:lpstr>
      <vt:lpstr>VFLAW_PLATE_DEPTH1</vt:lpstr>
      <vt:lpstr>VFLAW_PLATE_H</vt:lpstr>
      <vt:lpstr>VFLAW_PLATE_IRAD</vt:lpstr>
      <vt:lpstr>VFLAW_PLATE_NFLAW</vt:lpstr>
      <vt:lpstr>VFLAW_PLATE_OPT</vt:lpstr>
      <vt:lpstr>VFLAW_PLATE_W</vt:lpstr>
      <vt:lpstr>VFLAW_SURF_AR10</vt:lpstr>
      <vt:lpstr>VFLAW_SURF_AR2</vt:lpstr>
      <vt:lpstr>VFLAW_SURF_AR6</vt:lpstr>
      <vt:lpstr>VFLAW_SURF_ARdefault</vt:lpstr>
      <vt:lpstr>VFLAW_SURF_ARinf</vt:lpstr>
      <vt:lpstr>VFLAW_SURF_CLTH</vt:lpstr>
      <vt:lpstr>VFLAW_SURF_data</vt:lpstr>
      <vt:lpstr>VFLAW_SURF_DEPTH1</vt:lpstr>
      <vt:lpstr>VFLAW_SURF_H</vt:lpstr>
      <vt:lpstr>VFLAW_SURF_IRAD</vt:lpstr>
      <vt:lpstr>VFLAW_SURF_NFLAW</vt:lpstr>
      <vt:lpstr>VFLAW_SURF_OPT</vt:lpstr>
      <vt:lpstr>VFLAW_SURF_W</vt:lpstr>
      <vt:lpstr>VFLAW_WELD_AR10001500</vt:lpstr>
      <vt:lpstr>VFLAW_WELD_AR100125</vt:lpstr>
      <vt:lpstr>VFLAW_WELD_AR125150</vt:lpstr>
      <vt:lpstr>VFLAW_WELD_AR1500inf</vt:lpstr>
      <vt:lpstr>VFLAW_WELD_AR150200</vt:lpstr>
      <vt:lpstr>VFLAW_WELD_AR200300</vt:lpstr>
      <vt:lpstr>VFLAW_WELD_AR300400</vt:lpstr>
      <vt:lpstr>VFLAW_WELD_AR400500</vt:lpstr>
      <vt:lpstr>VFLAW_WELD_AR500600</vt:lpstr>
      <vt:lpstr>VFLAW_WELD_AR600800</vt:lpstr>
      <vt:lpstr>VFLAW_WELD_AR8001000</vt:lpstr>
      <vt:lpstr>VFLAW_WELD_ARdefault</vt:lpstr>
      <vt:lpstr>VFLAW_WELD_CLTH</vt:lpstr>
      <vt:lpstr>VFLAW_WELD_data</vt:lpstr>
      <vt:lpstr>VFLAW_WELD_DEPTH1</vt:lpstr>
      <vt:lpstr>VFLAW_WELD_H</vt:lpstr>
      <vt:lpstr>VFLAW_WELD_IRAD</vt:lpstr>
      <vt:lpstr>VFLAW_WELD_NFLAW</vt:lpstr>
      <vt:lpstr>VFLAW_WELD_OPT</vt:lpstr>
      <vt:lpstr>VFLAW_WELD_W</vt:lpstr>
      <vt:lpstr>VFLAWInput</vt:lpstr>
      <vt:lpstr>VFLAWplateCase</vt:lpstr>
      <vt:lpstr>VFLAWplateIN</vt:lpstr>
      <vt:lpstr>VFLAWsurfCase</vt:lpstr>
      <vt:lpstr>VFLAWsurfIN</vt:lpstr>
      <vt:lpstr>VFLAWweldCase</vt:lpstr>
      <vt:lpstr>VFLAWweldIN</vt:lpstr>
      <vt:lpstr>WELD_NWMAJ</vt:lpstr>
      <vt:lpstr>WELD_NWSUB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2022-04-19T17:03:12Z</dcterms:modified>
</cp:coreProperties>
</file>